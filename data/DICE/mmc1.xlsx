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0"/>
  <workbookPr showInkAnnotation="0" autoCompressPictures="0"/>
  <mc:AlternateContent xmlns:mc="http://schemas.openxmlformats.org/markup-compatibility/2006">
    <mc:Choice Requires="x15">
      <x15ac:absPath xmlns:x15ac="http://schemas.microsoft.com/office/spreadsheetml/2010/11/ac" url="/Users/benjaminschmiedel/Desktop/"/>
    </mc:Choice>
  </mc:AlternateContent>
  <xr:revisionPtr revIDLastSave="0" documentId="8_{52B2F31B-549E-BB48-96A2-5BF768232020}" xr6:coauthVersionLast="36" xr6:coauthVersionMax="36" xr10:uidLastSave="{00000000-0000-0000-0000-000000000000}"/>
  <bookViews>
    <workbookView xWindow="-25600" yWindow="-8200" windowWidth="25600" windowHeight="28340" tabRatio="500" xr2:uid="{00000000-000D-0000-FFFF-FFFF00000000}"/>
  </bookViews>
  <sheets>
    <sheet name="Table S1A" sheetId="15" r:id="rId1"/>
    <sheet name="Table S1B" sheetId="16" r:id="rId2"/>
  </sheets>
  <definedNames>
    <definedName name="_xlnm._FilterDatabase" localSheetId="1" hidden="1">'Table S1B'!$A$97:$BI$111</definedName>
  </definedNames>
  <calcPr calcId="162913"/>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B113" i="16" l="1"/>
  <c r="C113" i="16"/>
  <c r="D113" i="16"/>
  <c r="E113" i="16"/>
  <c r="F113" i="16"/>
  <c r="G113" i="16"/>
  <c r="H113" i="16"/>
  <c r="I113" i="16"/>
  <c r="J113" i="16"/>
  <c r="K113" i="16"/>
  <c r="L113" i="16"/>
  <c r="M113" i="16"/>
  <c r="N113" i="16"/>
  <c r="O113" i="16"/>
  <c r="P113" i="16"/>
  <c r="Q113" i="16"/>
  <c r="R113" i="16"/>
  <c r="S113" i="16"/>
  <c r="T113" i="16"/>
  <c r="U113" i="16"/>
  <c r="V113" i="16"/>
  <c r="W113" i="16"/>
  <c r="X113" i="16"/>
  <c r="Y113" i="16"/>
  <c r="Z113" i="16"/>
  <c r="AA113" i="16"/>
  <c r="AB113" i="16"/>
  <c r="AC113" i="16"/>
  <c r="AD113" i="16"/>
  <c r="AE113" i="16"/>
  <c r="AF113" i="16"/>
  <c r="AG113" i="16"/>
  <c r="AH113" i="16"/>
  <c r="AI113" i="16"/>
  <c r="AJ113" i="16"/>
  <c r="AK113" i="16"/>
  <c r="AL113" i="16"/>
  <c r="AM113" i="16"/>
  <c r="AN113" i="16"/>
  <c r="AO113" i="16"/>
  <c r="AP113" i="16"/>
  <c r="AQ113" i="16"/>
  <c r="AR113" i="16"/>
  <c r="AS113" i="16"/>
  <c r="AT113" i="16"/>
  <c r="AU113" i="16"/>
  <c r="AV113" i="16"/>
  <c r="AW113" i="16"/>
  <c r="AX113" i="16"/>
  <c r="AY113" i="16"/>
  <c r="AZ113" i="16"/>
  <c r="BA113" i="16"/>
  <c r="BB113" i="16"/>
  <c r="BC113" i="16"/>
  <c r="BD113" i="16"/>
  <c r="BE113" i="16"/>
  <c r="BF113" i="16"/>
  <c r="BG113" i="16"/>
  <c r="BH113" i="16"/>
  <c r="BI113" i="16"/>
  <c r="B114" i="16"/>
  <c r="C114" i="16"/>
  <c r="D114" i="16"/>
  <c r="E114" i="16"/>
  <c r="F114" i="16"/>
  <c r="G114" i="16"/>
  <c r="H114" i="16"/>
  <c r="I114" i="16"/>
  <c r="J114" i="16"/>
  <c r="K114" i="16"/>
  <c r="L114" i="16"/>
  <c r="M114" i="16"/>
  <c r="N114" i="16"/>
  <c r="O114" i="16"/>
  <c r="P114" i="16"/>
  <c r="Q114" i="16"/>
  <c r="R114" i="16"/>
  <c r="S114" i="16"/>
  <c r="T114" i="16"/>
  <c r="U114" i="16"/>
  <c r="V114" i="16"/>
  <c r="W114" i="16"/>
  <c r="X114" i="16"/>
  <c r="Y114" i="16"/>
  <c r="Z114" i="16"/>
  <c r="AA114" i="16"/>
  <c r="AB114" i="16"/>
  <c r="AC114" i="16"/>
  <c r="AD114" i="16"/>
  <c r="AE114" i="16"/>
  <c r="AF114" i="16"/>
  <c r="AG114" i="16"/>
  <c r="AH114" i="16"/>
  <c r="AI114" i="16"/>
  <c r="AJ114" i="16"/>
  <c r="AK114" i="16"/>
  <c r="AL114" i="16"/>
  <c r="AM114" i="16"/>
  <c r="AN114" i="16"/>
  <c r="AO114" i="16"/>
  <c r="AP114" i="16"/>
  <c r="AQ114" i="16"/>
  <c r="AR114" i="16"/>
  <c r="AS114" i="16"/>
  <c r="AT114" i="16"/>
  <c r="AU114" i="16"/>
  <c r="AV114" i="16"/>
  <c r="AW114" i="16"/>
  <c r="AX114" i="16"/>
  <c r="AY114" i="16"/>
  <c r="AZ114" i="16"/>
  <c r="BA114" i="16"/>
  <c r="BB114" i="16"/>
  <c r="BC114" i="16"/>
  <c r="BD114" i="16"/>
  <c r="BE114" i="16"/>
  <c r="BF114" i="16"/>
  <c r="BG114" i="16"/>
  <c r="BH114" i="16"/>
  <c r="BI114" i="16"/>
  <c r="C115" i="16"/>
  <c r="D115" i="16"/>
  <c r="G115" i="16"/>
  <c r="H115" i="16"/>
  <c r="K115" i="16"/>
  <c r="L115" i="16"/>
  <c r="O115" i="16"/>
  <c r="P115" i="16"/>
  <c r="S115" i="16"/>
  <c r="T115" i="16"/>
  <c r="W115" i="16"/>
  <c r="X115" i="16"/>
  <c r="AA115" i="16"/>
  <c r="AB115" i="16"/>
  <c r="AE115" i="16"/>
  <c r="AF115" i="16"/>
  <c r="AI115" i="16"/>
  <c r="AJ115" i="16"/>
  <c r="AM115" i="16"/>
  <c r="AN115" i="16"/>
  <c r="AQ115" i="16"/>
  <c r="AR115" i="16"/>
  <c r="AU115" i="16"/>
  <c r="AV115" i="16"/>
  <c r="AY115" i="16"/>
  <c r="AZ115" i="16"/>
  <c r="BC115" i="16"/>
  <c r="BD115" i="16"/>
  <c r="BG115" i="16"/>
  <c r="BH115" i="16"/>
  <c r="S116" i="15" l="1"/>
  <c r="R116" i="15"/>
  <c r="Q116" i="15"/>
  <c r="P116" i="15"/>
  <c r="O116" i="15"/>
  <c r="N116" i="15"/>
  <c r="M116" i="15"/>
  <c r="L116" i="15"/>
  <c r="K116" i="15"/>
  <c r="J116" i="15"/>
  <c r="I116" i="15"/>
  <c r="H116" i="15"/>
  <c r="S115" i="15"/>
  <c r="R115" i="15"/>
  <c r="Q115" i="15"/>
  <c r="P115" i="15"/>
  <c r="O115" i="15"/>
  <c r="N115" i="15"/>
  <c r="M115" i="15"/>
  <c r="L115" i="15"/>
  <c r="K115" i="15"/>
  <c r="J115" i="15"/>
  <c r="I115" i="15"/>
  <c r="H115" i="15"/>
  <c r="G116" i="15"/>
  <c r="G115" i="15"/>
  <c r="H97" i="15"/>
  <c r="I97" i="15"/>
  <c r="J97" i="15"/>
  <c r="K97" i="15"/>
  <c r="L97" i="15"/>
  <c r="M97" i="15"/>
  <c r="N97" i="15"/>
  <c r="O97" i="15"/>
  <c r="P97" i="15"/>
  <c r="Q97" i="15"/>
  <c r="R97" i="15"/>
  <c r="S97" i="15"/>
  <c r="G97" i="15"/>
  <c r="H96" i="15"/>
  <c r="I96" i="15"/>
  <c r="J96" i="15"/>
  <c r="K96" i="15"/>
  <c r="L96" i="15"/>
  <c r="M96" i="15"/>
  <c r="N96" i="15"/>
  <c r="O96" i="15"/>
  <c r="P96" i="15"/>
  <c r="Q96" i="15"/>
  <c r="R96" i="15"/>
  <c r="S96" i="15"/>
  <c r="G96" i="15"/>
</calcChain>
</file>

<file path=xl/sharedStrings.xml><?xml version="1.0" encoding="utf-8"?>
<sst xmlns="http://schemas.openxmlformats.org/spreadsheetml/2006/main" count="702" uniqueCount="64">
  <si>
    <t>Age (y)</t>
  </si>
  <si>
    <t>Sex</t>
  </si>
  <si>
    <t>F</t>
  </si>
  <si>
    <t>M</t>
  </si>
  <si>
    <t>Race</t>
  </si>
  <si>
    <t>Ethnicity</t>
  </si>
  <si>
    <t>White</t>
  </si>
  <si>
    <t>More Than One Race</t>
  </si>
  <si>
    <t>Asian</t>
  </si>
  <si>
    <t>Black or African American</t>
  </si>
  <si>
    <t>Native Hawaiian or Other Pacific Islander</t>
  </si>
  <si>
    <t>Unknown or Not Reported</t>
  </si>
  <si>
    <t>Hispanic or Latino</t>
  </si>
  <si>
    <t>Not Hispanic or Latino</t>
  </si>
  <si>
    <t>NK cells</t>
  </si>
  <si>
    <t>Naïve B cells</t>
  </si>
  <si>
    <t>Donor ID</t>
  </si>
  <si>
    <t>137</t>
  </si>
  <si>
    <t>168</t>
  </si>
  <si>
    <t>Days between blood draws</t>
  </si>
  <si>
    <t>Classical monocytes</t>
  </si>
  <si>
    <t>Non-classical monocytes</t>
  </si>
  <si>
    <t>N/A</t>
  </si>
  <si>
    <r>
      <t>T</t>
    </r>
    <r>
      <rPr>
        <vertAlign val="subscript"/>
        <sz val="10"/>
        <color theme="1"/>
        <rFont val="Arial"/>
        <family val="2"/>
      </rPr>
      <t>H</t>
    </r>
    <r>
      <rPr>
        <sz val="10"/>
        <color theme="1"/>
        <rFont val="Arial"/>
        <family val="2"/>
      </rPr>
      <t>1/17 cells</t>
    </r>
  </si>
  <si>
    <r>
      <t>T</t>
    </r>
    <r>
      <rPr>
        <vertAlign val="subscript"/>
        <sz val="10"/>
        <color theme="1"/>
        <rFont val="Arial"/>
        <family val="2"/>
      </rPr>
      <t>H</t>
    </r>
    <r>
      <rPr>
        <sz val="10"/>
        <color theme="1"/>
        <rFont val="Arial"/>
        <family val="2"/>
      </rPr>
      <t>17 cells</t>
    </r>
  </si>
  <si>
    <r>
      <t>T</t>
    </r>
    <r>
      <rPr>
        <vertAlign val="subscript"/>
        <sz val="10"/>
        <color theme="1"/>
        <rFont val="Arial"/>
        <family val="2"/>
      </rPr>
      <t>H</t>
    </r>
    <r>
      <rPr>
        <sz val="10"/>
        <color theme="1"/>
        <rFont val="Arial"/>
        <family val="2"/>
      </rPr>
      <t>2 cells</t>
    </r>
  </si>
  <si>
    <r>
      <t>T</t>
    </r>
    <r>
      <rPr>
        <vertAlign val="subscript"/>
        <sz val="10"/>
        <color theme="1"/>
        <rFont val="Arial"/>
        <family val="2"/>
      </rPr>
      <t>FH</t>
    </r>
    <r>
      <rPr>
        <sz val="10"/>
        <color theme="1"/>
        <rFont val="Arial"/>
        <family val="2"/>
      </rPr>
      <t xml:space="preserve"> cells</t>
    </r>
  </si>
  <si>
    <t>Median</t>
  </si>
  <si>
    <t>Average</t>
  </si>
  <si>
    <r>
      <t>Naïve
T</t>
    </r>
    <r>
      <rPr>
        <vertAlign val="subscript"/>
        <sz val="10"/>
        <color theme="1"/>
        <rFont val="Arial"/>
        <family val="2"/>
      </rPr>
      <t>REG</t>
    </r>
    <r>
      <rPr>
        <sz val="10"/>
        <color theme="1"/>
        <rFont val="Arial"/>
        <family val="2"/>
      </rPr>
      <t xml:space="preserve"> cells</t>
    </r>
  </si>
  <si>
    <r>
      <t>T</t>
    </r>
    <r>
      <rPr>
        <vertAlign val="subscript"/>
        <sz val="10"/>
        <color theme="0"/>
        <rFont val="Arial"/>
        <family val="2"/>
      </rPr>
      <t>H</t>
    </r>
    <r>
      <rPr>
        <sz val="10"/>
        <color theme="0"/>
        <rFont val="Arial"/>
        <family val="2"/>
      </rPr>
      <t>1 cells</t>
    </r>
  </si>
  <si>
    <t>Naïve CD4+
T cells</t>
  </si>
  <si>
    <t>Naïve CD8+
T cells</t>
  </si>
  <si>
    <r>
      <t>Memory
T</t>
    </r>
    <r>
      <rPr>
        <vertAlign val="subscript"/>
        <sz val="10"/>
        <color theme="1"/>
        <rFont val="Arial"/>
        <family val="2"/>
      </rPr>
      <t>REG</t>
    </r>
    <r>
      <rPr>
        <sz val="10"/>
        <color theme="1"/>
        <rFont val="Arial"/>
        <family val="2"/>
      </rPr>
      <t xml:space="preserve"> cells</t>
    </r>
  </si>
  <si>
    <t>-</t>
  </si>
  <si>
    <t>Sum</t>
  </si>
  <si>
    <t>Total uniquely mapping reads (%)</t>
  </si>
  <si>
    <t>Total uniquely mapping reads</t>
  </si>
  <si>
    <t>Total raw reads</t>
  </si>
  <si>
    <t>RNA integrity
number (RIN)</t>
  </si>
  <si>
    <r>
      <t>T</t>
    </r>
    <r>
      <rPr>
        <vertAlign val="subscript"/>
        <sz val="10"/>
        <rFont val="Arial"/>
        <family val="2"/>
      </rPr>
      <t>FH</t>
    </r>
    <r>
      <rPr>
        <sz val="10"/>
        <rFont val="Arial"/>
        <family val="2"/>
      </rPr>
      <t xml:space="preserve"> cells</t>
    </r>
  </si>
  <si>
    <r>
      <t>Memory T</t>
    </r>
    <r>
      <rPr>
        <vertAlign val="subscript"/>
        <sz val="10"/>
        <color theme="1"/>
        <rFont val="Arial"/>
        <family val="2"/>
      </rPr>
      <t>REG</t>
    </r>
    <r>
      <rPr>
        <sz val="10"/>
        <color theme="1"/>
        <rFont val="Arial"/>
        <family val="2"/>
      </rPr>
      <t xml:space="preserve"> cells</t>
    </r>
  </si>
  <si>
    <r>
      <t>Naïve T</t>
    </r>
    <r>
      <rPr>
        <vertAlign val="subscript"/>
        <sz val="10"/>
        <color theme="1"/>
        <rFont val="Arial"/>
        <family val="2"/>
      </rPr>
      <t>REG</t>
    </r>
    <r>
      <rPr>
        <sz val="10"/>
        <color theme="1"/>
        <rFont val="Arial"/>
        <family val="2"/>
      </rPr>
      <t xml:space="preserve"> cells</t>
    </r>
  </si>
  <si>
    <t>Activated naïve CD8+ T cells</t>
  </si>
  <si>
    <t>Activated naïve CD4+ T cells</t>
  </si>
  <si>
    <t>Naïve CD8+ T cells</t>
  </si>
  <si>
    <t>Naïve CD4+ T cells</t>
  </si>
  <si>
    <t>10_2</t>
  </si>
  <si>
    <t>70_2</t>
  </si>
  <si>
    <t>30_2</t>
  </si>
  <si>
    <t>43_2</t>
  </si>
  <si>
    <t>16_2</t>
  </si>
  <si>
    <t>72_2</t>
  </si>
  <si>
    <t>39_2</t>
  </si>
  <si>
    <t>25_2</t>
  </si>
  <si>
    <t>47_2</t>
  </si>
  <si>
    <t>21_2</t>
  </si>
  <si>
    <t>63_2</t>
  </si>
  <si>
    <t>56_2</t>
  </si>
  <si>
    <t>22_2</t>
  </si>
  <si>
    <t>44_2</t>
  </si>
  <si>
    <t>78_2</t>
  </si>
  <si>
    <r>
      <t>Table S1A.</t>
    </r>
    <r>
      <rPr>
        <sz val="10"/>
        <color theme="1"/>
        <rFont val="Arial"/>
        <family val="2"/>
      </rPr>
      <t xml:space="preserve"> Related to Figure 1. Demographic characteristics of study subjects, along with frequencies of the indicated immune cell populations within PBMC (%). Longitudinal samples are labeled with '_2'. Data not available is indicated by 'N/A'.</t>
    </r>
  </si>
  <si>
    <r>
      <t>Table S1B.</t>
    </r>
    <r>
      <rPr>
        <sz val="10"/>
        <color theme="1"/>
        <rFont val="Arial"/>
        <family val="2"/>
      </rPr>
      <t xml:space="preserve"> Related to Figure 1. Details of libraries run for RNA sequencing. For each RNA-Seq assay, the table lists the donor ID, RNA integrity number (RIN) of total RNA utilized for library preparation, numbers of total raw reads, total uniquely mapped reads and the fraction of unique mapped reads from total reads passing filter. Longitudinal samples are labeled with '_2'. Data not available is indicated by 'N/A'.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</si>
</sst>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
  </numFmts>
  <fonts count="18" x14ac:knownFonts="1">
    <font>
      <sz val="12"/>
      <color theme="1"/>
      <name val="Calibri"/>
      <family val="2"/>
      <scheme val="minor"/>
    </font>
    <font>
      <sz val="12"/>
      <color theme="1"/>
      <name val="Calibri"/>
      <family val="2"/>
      <charset val="238"/>
      <scheme val="minor"/>
    </font>
    <font>
      <sz val="12"/>
      <color theme="1"/>
      <name val="Calibri"/>
      <family val="2"/>
      <charset val="238"/>
      <scheme val="minor"/>
    </font>
    <font>
      <u/>
      <sz val="12"/>
      <color theme="10"/>
      <name val="Calibri"/>
      <family val="2"/>
      <charset val="238"/>
      <scheme val="minor"/>
    </font>
    <font>
      <u/>
      <sz val="12"/>
      <color theme="11"/>
      <name val="Calibri"/>
      <family val="2"/>
      <charset val="238"/>
      <scheme val="minor"/>
    </font>
    <font>
      <sz val="11"/>
      <color theme="1"/>
      <name val="Calibri"/>
      <family val="2"/>
      <scheme val="minor"/>
    </font>
    <font>
      <sz val="8"/>
      <name val="Calibri"/>
      <family val="2"/>
      <scheme val="minor"/>
    </font>
    <font>
      <sz val="10"/>
      <color rgb="FF006100"/>
      <name val="Calibri"/>
      <family val="2"/>
      <charset val="136"/>
      <scheme val="minor"/>
    </font>
    <font>
      <sz val="11"/>
      <color rgb="FF006100"/>
      <name val="Calibri"/>
      <family val="2"/>
      <scheme val="minor"/>
    </font>
    <font>
      <b/>
      <sz val="10"/>
      <color theme="1"/>
      <name val="Arial"/>
      <family val="2"/>
    </font>
    <font>
      <sz val="10"/>
      <color theme="1"/>
      <name val="Arial"/>
      <family val="2"/>
    </font>
    <font>
      <sz val="10"/>
      <name val="Arial"/>
      <family val="2"/>
    </font>
    <font>
      <vertAlign val="subscript"/>
      <sz val="10"/>
      <color theme="1"/>
      <name val="Arial"/>
      <family val="2"/>
    </font>
    <font>
      <sz val="10"/>
      <color theme="0"/>
      <name val="Arial"/>
      <family val="2"/>
    </font>
    <font>
      <vertAlign val="subscript"/>
      <sz val="10"/>
      <color theme="0"/>
      <name val="Arial"/>
      <family val="2"/>
    </font>
    <font>
      <sz val="12"/>
      <color theme="1"/>
      <name val="Calibri"/>
      <family val="2"/>
    </font>
    <font>
      <sz val="10"/>
      <color theme="0" tint="-0.249977111117893"/>
      <name val="Arial"/>
      <family val="2"/>
    </font>
    <font>
      <vertAlign val="subscript"/>
      <sz val="10"/>
      <name val="Arial"/>
      <family val="2"/>
    </font>
  </fonts>
  <fills count="20">
    <fill>
      <patternFill patternType="none"/>
    </fill>
    <fill>
      <patternFill patternType="gray125"/>
    </fill>
    <fill>
      <patternFill patternType="solid">
        <fgColor rgb="FFC6EFCE"/>
      </patternFill>
    </fill>
    <fill>
      <patternFill patternType="solid">
        <fgColor rgb="FFC2352C"/>
        <bgColor indexed="64"/>
      </patternFill>
    </fill>
    <fill>
      <patternFill patternType="solid">
        <fgColor rgb="FFFF9E00"/>
        <bgColor indexed="64"/>
      </patternFill>
    </fill>
    <fill>
      <patternFill patternType="solid">
        <fgColor rgb="FFFFDD00"/>
        <bgColor indexed="64"/>
      </patternFill>
    </fill>
    <fill>
      <patternFill patternType="solid">
        <fgColor rgb="FF36D240"/>
        <bgColor indexed="64"/>
      </patternFill>
    </fill>
    <fill>
      <patternFill patternType="solid">
        <fgColor rgb="FF00CBFF"/>
        <bgColor indexed="64"/>
      </patternFill>
    </fill>
    <fill>
      <patternFill patternType="solid">
        <fgColor rgb="FFF49BF2"/>
        <bgColor indexed="64"/>
      </patternFill>
    </fill>
    <fill>
      <patternFill patternType="solid">
        <fgColor theme="0" tint="-0.14999847407452621"/>
        <bgColor indexed="64"/>
      </patternFill>
    </fill>
    <fill>
      <patternFill patternType="solid">
        <fgColor rgb="FF83BDAA"/>
        <bgColor indexed="64"/>
      </patternFill>
    </fill>
    <fill>
      <patternFill patternType="solid">
        <fgColor rgb="FF319272"/>
        <bgColor indexed="64"/>
      </patternFill>
    </fill>
    <fill>
      <patternFill patternType="solid">
        <fgColor rgb="FF754600"/>
        <bgColor indexed="64"/>
      </patternFill>
    </fill>
    <fill>
      <patternFill patternType="solid">
        <fgColor rgb="FFC37600"/>
        <bgColor indexed="64"/>
      </patternFill>
    </fill>
    <fill>
      <patternFill patternType="solid">
        <fgColor rgb="FFE1BA7F"/>
        <bgColor indexed="64"/>
      </patternFill>
    </fill>
    <fill>
      <patternFill patternType="solid">
        <fgColor rgb="FFA6B0E3"/>
        <bgColor indexed="64"/>
      </patternFill>
    </fill>
    <fill>
      <patternFill patternType="solid">
        <fgColor rgb="FFFFB4B4"/>
        <bgColor indexed="64"/>
      </patternFill>
    </fill>
    <fill>
      <patternFill patternType="solid">
        <fgColor rgb="FFAB50D6"/>
        <bgColor indexed="64"/>
      </patternFill>
    </fill>
    <fill>
      <patternFill patternType="solid">
        <fgColor rgb="FF0228D7"/>
        <bgColor indexed="64"/>
      </patternFill>
    </fill>
    <fill>
      <patternFill patternType="solid">
        <fgColor rgb="FFC2352C"/>
        <bgColor rgb="FF000000"/>
      </patternFill>
    </fill>
  </fills>
  <borders count="1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style="thin">
        <color indexed="64"/>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756">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2"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1" fillId="0" borderId="0"/>
    <xf numFmtId="0" fontId="5" fillId="0" borderId="0"/>
    <xf numFmtId="0" fontId="1"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7" fillId="2" borderId="0" applyNumberFormat="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8" fillId="2" borderId="0" applyNumberFormat="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15" fillId="0" borderId="0"/>
    <xf numFmtId="9" fontId="15" fillId="0" borderId="0" applyFont="0" applyFill="0" applyBorder="0" applyAlignment="0" applyProtection="0"/>
    <xf numFmtId="43" fontId="15" fillId="0" borderId="0" applyFont="0" applyFill="0" applyBorder="0" applyAlignment="0" applyProtection="0"/>
  </cellStyleXfs>
  <cellXfs count="138">
    <xf numFmtId="0" fontId="0" fillId="0" borderId="0" xfId="0"/>
    <xf numFmtId="0" fontId="9" fillId="0" borderId="0" xfId="0" applyNumberFormat="1" applyFont="1" applyFill="1" applyAlignment="1"/>
    <xf numFmtId="0" fontId="10" fillId="0" borderId="0" xfId="0" applyNumberFormat="1" applyFont="1" applyFill="1" applyAlignment="1"/>
    <xf numFmtId="0" fontId="10" fillId="0" borderId="0" xfId="0" applyNumberFormat="1" applyFont="1" applyAlignment="1"/>
    <xf numFmtId="0" fontId="10" fillId="0" borderId="0" xfId="0" applyNumberFormat="1" applyFont="1" applyAlignment="1">
      <alignment horizontal="center"/>
    </xf>
    <xf numFmtId="0" fontId="10" fillId="9" borderId="2" xfId="0" applyNumberFormat="1" applyFont="1" applyFill="1" applyBorder="1" applyAlignment="1">
      <alignment horizontal="center" vertical="center" wrapText="1"/>
    </xf>
    <xf numFmtId="0" fontId="10" fillId="4" borderId="2" xfId="0" applyNumberFormat="1" applyFont="1" applyFill="1" applyBorder="1" applyAlignment="1">
      <alignment horizontal="center" vertical="center" wrapText="1"/>
    </xf>
    <xf numFmtId="0" fontId="10" fillId="5" borderId="2" xfId="0" applyNumberFormat="1" applyFont="1" applyFill="1" applyBorder="1" applyAlignment="1">
      <alignment horizontal="center" vertical="center" wrapText="1"/>
    </xf>
    <xf numFmtId="0" fontId="10" fillId="6" borderId="2" xfId="0" applyNumberFormat="1" applyFont="1" applyFill="1" applyBorder="1" applyAlignment="1">
      <alignment horizontal="center" vertical="center" wrapText="1"/>
    </xf>
    <xf numFmtId="0" fontId="10" fillId="7" borderId="2" xfId="0" applyNumberFormat="1" applyFont="1" applyFill="1" applyBorder="1" applyAlignment="1">
      <alignment horizontal="center" vertical="center" wrapText="1"/>
    </xf>
    <xf numFmtId="0" fontId="10" fillId="8" borderId="2" xfId="0" applyNumberFormat="1" applyFont="1" applyFill="1" applyBorder="1" applyAlignment="1">
      <alignment horizontal="center" vertical="center" wrapText="1"/>
    </xf>
    <xf numFmtId="0" fontId="10" fillId="0" borderId="3" xfId="0" applyNumberFormat="1" applyFont="1" applyFill="1" applyBorder="1" applyAlignment="1">
      <alignment horizontal="center"/>
    </xf>
    <xf numFmtId="0" fontId="10" fillId="0" borderId="0" xfId="0" applyNumberFormat="1" applyFont="1" applyFill="1" applyAlignment="1">
      <alignment horizontal="center"/>
    </xf>
    <xf numFmtId="0" fontId="10" fillId="0" borderId="3" xfId="0" applyNumberFormat="1" applyFont="1" applyBorder="1" applyAlignment="1">
      <alignment horizontal="center"/>
    </xf>
    <xf numFmtId="0" fontId="11" fillId="0" borderId="3" xfId="707" applyNumberFormat="1" applyFont="1" applyFill="1" applyBorder="1" applyAlignment="1">
      <alignment horizontal="center"/>
    </xf>
    <xf numFmtId="164" fontId="10" fillId="0" borderId="3" xfId="0" applyNumberFormat="1" applyFont="1" applyBorder="1" applyAlignment="1">
      <alignment horizontal="center"/>
    </xf>
    <xf numFmtId="0" fontId="10" fillId="0" borderId="4" xfId="0" applyNumberFormat="1" applyFont="1" applyFill="1" applyBorder="1" applyAlignment="1">
      <alignment horizontal="center"/>
    </xf>
    <xf numFmtId="0" fontId="10" fillId="0" borderId="4" xfId="0" applyNumberFormat="1" applyFont="1" applyBorder="1" applyAlignment="1">
      <alignment horizontal="center"/>
    </xf>
    <xf numFmtId="164" fontId="10" fillId="0" borderId="4" xfId="0" applyNumberFormat="1" applyFont="1" applyBorder="1" applyAlignment="1">
      <alignment horizontal="center"/>
    </xf>
    <xf numFmtId="0" fontId="10" fillId="0" borderId="0" xfId="0" applyNumberFormat="1" applyFont="1" applyFill="1" applyBorder="1" applyAlignment="1">
      <alignment horizontal="center"/>
    </xf>
    <xf numFmtId="164" fontId="10" fillId="0" borderId="0" xfId="0" applyNumberFormat="1" applyFont="1" applyFill="1" applyBorder="1" applyAlignment="1">
      <alignment horizontal="center"/>
    </xf>
    <xf numFmtId="164" fontId="10" fillId="0" borderId="4" xfId="0" applyNumberFormat="1" applyFont="1" applyFill="1" applyBorder="1" applyAlignment="1">
      <alignment horizontal="center"/>
    </xf>
    <xf numFmtId="0" fontId="11" fillId="0" borderId="4" xfId="707" applyNumberFormat="1" applyFont="1" applyFill="1" applyBorder="1" applyAlignment="1">
      <alignment horizontal="center"/>
    </xf>
    <xf numFmtId="0" fontId="10" fillId="0" borderId="0" xfId="0" applyNumberFormat="1" applyFont="1" applyFill="1" applyBorder="1" applyAlignment="1"/>
    <xf numFmtId="0" fontId="10" fillId="0" borderId="0" xfId="0" applyNumberFormat="1" applyFont="1" applyBorder="1" applyAlignment="1">
      <alignment horizontal="center"/>
    </xf>
    <xf numFmtId="0" fontId="11" fillId="0" borderId="0" xfId="707" applyNumberFormat="1" applyFont="1" applyFill="1" applyBorder="1" applyAlignment="1">
      <alignment horizontal="center"/>
    </xf>
    <xf numFmtId="164" fontId="10" fillId="0" borderId="0" xfId="0" applyNumberFormat="1" applyFont="1" applyBorder="1" applyAlignment="1">
      <alignment horizontal="center"/>
    </xf>
    <xf numFmtId="0" fontId="10" fillId="0" borderId="5" xfId="0" applyNumberFormat="1" applyFont="1" applyFill="1" applyBorder="1" applyAlignment="1">
      <alignment horizontal="center"/>
    </xf>
    <xf numFmtId="0" fontId="10" fillId="0" borderId="5" xfId="0" applyNumberFormat="1" applyFont="1" applyBorder="1" applyAlignment="1">
      <alignment horizontal="center"/>
    </xf>
    <xf numFmtId="0" fontId="10" fillId="0" borderId="1" xfId="0" applyNumberFormat="1" applyFont="1" applyBorder="1" applyAlignment="1">
      <alignment horizontal="center"/>
    </xf>
    <xf numFmtId="164" fontId="10" fillId="0" borderId="1" xfId="0" applyNumberFormat="1" applyFont="1" applyBorder="1" applyAlignment="1">
      <alignment horizontal="center"/>
    </xf>
    <xf numFmtId="164" fontId="10" fillId="0" borderId="5" xfId="0" applyNumberFormat="1" applyFont="1" applyBorder="1" applyAlignment="1">
      <alignment horizontal="center"/>
    </xf>
    <xf numFmtId="0" fontId="11" fillId="3" borderId="2" xfId="0" applyNumberFormat="1" applyFont="1" applyFill="1" applyBorder="1" applyAlignment="1">
      <alignment horizontal="center" vertical="center" wrapText="1"/>
    </xf>
    <xf numFmtId="0" fontId="11" fillId="0" borderId="7" xfId="707" applyNumberFormat="1" applyFont="1" applyFill="1" applyBorder="1" applyAlignment="1">
      <alignment horizontal="center"/>
    </xf>
    <xf numFmtId="0" fontId="10" fillId="0" borderId="7" xfId="0" applyNumberFormat="1" applyFont="1" applyBorder="1" applyAlignment="1">
      <alignment horizontal="center"/>
    </xf>
    <xf numFmtId="0" fontId="10" fillId="0" borderId="8" xfId="0" applyNumberFormat="1" applyFont="1" applyBorder="1" applyAlignment="1">
      <alignment horizontal="center"/>
    </xf>
    <xf numFmtId="164" fontId="10" fillId="0" borderId="6" xfId="0" applyNumberFormat="1" applyFont="1" applyFill="1" applyBorder="1" applyAlignment="1">
      <alignment horizontal="center"/>
    </xf>
    <xf numFmtId="164" fontId="10" fillId="0" borderId="9" xfId="0" applyNumberFormat="1" applyFont="1" applyFill="1" applyBorder="1" applyAlignment="1">
      <alignment horizontal="center"/>
    </xf>
    <xf numFmtId="164" fontId="10" fillId="0" borderId="9" xfId="0" applyNumberFormat="1" applyFont="1" applyBorder="1" applyAlignment="1">
      <alignment horizontal="center"/>
    </xf>
    <xf numFmtId="164" fontId="10" fillId="0" borderId="7" xfId="0" applyNumberFormat="1" applyFont="1" applyBorder="1" applyAlignment="1">
      <alignment horizontal="center"/>
    </xf>
    <xf numFmtId="164" fontId="10" fillId="0" borderId="7" xfId="0" applyNumberFormat="1" applyFont="1" applyFill="1" applyBorder="1" applyAlignment="1">
      <alignment horizontal="center"/>
    </xf>
    <xf numFmtId="164" fontId="10" fillId="0" borderId="8" xfId="0" applyNumberFormat="1" applyFont="1" applyFill="1" applyBorder="1" applyAlignment="1">
      <alignment horizontal="center"/>
    </xf>
    <xf numFmtId="164" fontId="10" fillId="0" borderId="1" xfId="0" applyNumberFormat="1" applyFont="1" applyFill="1" applyBorder="1" applyAlignment="1">
      <alignment horizontal="center"/>
    </xf>
    <xf numFmtId="164" fontId="10" fillId="0" borderId="5" xfId="0" applyNumberFormat="1" applyFont="1" applyFill="1" applyBorder="1" applyAlignment="1">
      <alignment horizontal="center"/>
    </xf>
    <xf numFmtId="164" fontId="10" fillId="0" borderId="3" xfId="0" applyNumberFormat="1" applyFont="1" applyFill="1" applyBorder="1" applyAlignment="1">
      <alignment horizontal="center"/>
    </xf>
    <xf numFmtId="164" fontId="10" fillId="0" borderId="6" xfId="0" applyNumberFormat="1" applyFont="1" applyBorder="1" applyAlignment="1">
      <alignment horizontal="center"/>
    </xf>
    <xf numFmtId="164" fontId="10" fillId="0" borderId="8" xfId="0" applyNumberFormat="1" applyFont="1" applyBorder="1" applyAlignment="1">
      <alignment horizontal="center"/>
    </xf>
    <xf numFmtId="0" fontId="10" fillId="0" borderId="2" xfId="0" applyFont="1" applyFill="1" applyBorder="1" applyAlignment="1">
      <alignment horizontal="center"/>
    </xf>
    <xf numFmtId="164" fontId="11" fillId="0" borderId="2" xfId="0" applyNumberFormat="1" applyFont="1" applyFill="1" applyBorder="1" applyAlignment="1">
      <alignment horizontal="center"/>
    </xf>
    <xf numFmtId="0" fontId="10" fillId="10" borderId="2" xfId="0" applyNumberFormat="1" applyFont="1" applyFill="1" applyBorder="1" applyAlignment="1">
      <alignment horizontal="center" vertical="center" wrapText="1"/>
    </xf>
    <xf numFmtId="0" fontId="13" fillId="12" borderId="2" xfId="0" applyNumberFormat="1" applyFont="1" applyFill="1" applyBorder="1" applyAlignment="1">
      <alignment horizontal="center" vertical="center" wrapText="1"/>
    </xf>
    <xf numFmtId="0" fontId="10" fillId="13" borderId="2" xfId="0" applyNumberFormat="1" applyFont="1" applyFill="1" applyBorder="1" applyAlignment="1">
      <alignment horizontal="center" vertical="center" wrapText="1"/>
    </xf>
    <xf numFmtId="0" fontId="10" fillId="14" borderId="2" xfId="0" applyNumberFormat="1" applyFont="1" applyFill="1" applyBorder="1" applyAlignment="1">
      <alignment horizontal="center" vertical="center" wrapText="1"/>
    </xf>
    <xf numFmtId="0" fontId="10" fillId="15" borderId="2" xfId="0" applyNumberFormat="1" applyFont="1" applyFill="1" applyBorder="1" applyAlignment="1">
      <alignment horizontal="center" vertical="center" wrapText="1"/>
    </xf>
    <xf numFmtId="0" fontId="10" fillId="16" borderId="2" xfId="0" applyNumberFormat="1" applyFont="1" applyFill="1" applyBorder="1" applyAlignment="1">
      <alignment horizontal="center" vertical="center" wrapText="1"/>
    </xf>
    <xf numFmtId="0" fontId="10" fillId="0" borderId="9" xfId="0" applyNumberFormat="1" applyFont="1" applyBorder="1" applyAlignment="1">
      <alignment horizontal="center"/>
    </xf>
    <xf numFmtId="0" fontId="11" fillId="0" borderId="9" xfId="707" applyNumberFormat="1" applyFont="1" applyFill="1" applyBorder="1" applyAlignment="1">
      <alignment horizontal="center"/>
    </xf>
    <xf numFmtId="0" fontId="11" fillId="0" borderId="6" xfId="707" applyNumberFormat="1" applyFont="1" applyFill="1" applyBorder="1" applyAlignment="1">
      <alignment horizontal="center"/>
    </xf>
    <xf numFmtId="0" fontId="10" fillId="0" borderId="4" xfId="615" applyFont="1" applyFill="1" applyBorder="1" applyAlignment="1">
      <alignment horizontal="center"/>
    </xf>
    <xf numFmtId="0" fontId="10" fillId="0" borderId="0" xfId="0" applyFont="1"/>
    <xf numFmtId="0" fontId="10" fillId="11" borderId="2" xfId="0" applyNumberFormat="1" applyFont="1" applyFill="1" applyBorder="1" applyAlignment="1">
      <alignment horizontal="center" vertical="center" wrapText="1"/>
    </xf>
    <xf numFmtId="0" fontId="10" fillId="0" borderId="0" xfId="753" applyFont="1"/>
    <xf numFmtId="0" fontId="11" fillId="0" borderId="0" xfId="753" applyFont="1"/>
    <xf numFmtId="0" fontId="11" fillId="0" borderId="0" xfId="753" applyFont="1" applyFill="1"/>
    <xf numFmtId="0" fontId="10" fillId="0" borderId="0" xfId="753" applyFont="1" applyFill="1"/>
    <xf numFmtId="165" fontId="11" fillId="0" borderId="2" xfId="754" applyNumberFormat="1" applyFont="1" applyBorder="1" applyAlignment="1">
      <alignment horizontal="center"/>
    </xf>
    <xf numFmtId="3" fontId="11" fillId="0" borderId="2" xfId="755" applyNumberFormat="1" applyFont="1" applyBorder="1" applyAlignment="1">
      <alignment horizontal="center"/>
    </xf>
    <xf numFmtId="164" fontId="11" fillId="0" borderId="2" xfId="753" applyNumberFormat="1" applyFont="1" applyBorder="1" applyAlignment="1">
      <alignment horizontal="center"/>
    </xf>
    <xf numFmtId="164" fontId="11" fillId="0" borderId="2" xfId="753" applyNumberFormat="1" applyFont="1" applyFill="1" applyBorder="1" applyAlignment="1">
      <alignment horizontal="center"/>
    </xf>
    <xf numFmtId="0" fontId="10" fillId="0" borderId="2" xfId="753" applyFont="1" applyFill="1" applyBorder="1" applyAlignment="1">
      <alignment horizontal="center"/>
    </xf>
    <xf numFmtId="0" fontId="16" fillId="0" borderId="0" xfId="615" applyFont="1" applyFill="1" applyAlignment="1">
      <alignment horizontal="center"/>
    </xf>
    <xf numFmtId="165" fontId="10" fillId="0" borderId="5" xfId="754" applyNumberFormat="1" applyFont="1" applyBorder="1" applyAlignment="1">
      <alignment horizontal="center"/>
    </xf>
    <xf numFmtId="3" fontId="10" fillId="0" borderId="5" xfId="755" applyNumberFormat="1" applyFont="1" applyBorder="1" applyAlignment="1">
      <alignment horizontal="center"/>
    </xf>
    <xf numFmtId="164" fontId="10" fillId="0" borderId="5" xfId="753" applyNumberFormat="1" applyFont="1" applyBorder="1" applyAlignment="1">
      <alignment horizontal="center"/>
    </xf>
    <xf numFmtId="0" fontId="10" fillId="0" borderId="5" xfId="615" applyFont="1" applyFill="1" applyBorder="1" applyAlignment="1">
      <alignment horizontal="center"/>
    </xf>
    <xf numFmtId="165" fontId="10" fillId="0" borderId="4" xfId="754" applyNumberFormat="1" applyFont="1" applyBorder="1" applyAlignment="1">
      <alignment horizontal="center"/>
    </xf>
    <xf numFmtId="3" fontId="10" fillId="0" borderId="4" xfId="755" applyNumberFormat="1" applyFont="1" applyBorder="1" applyAlignment="1">
      <alignment horizontal="center"/>
    </xf>
    <xf numFmtId="164" fontId="10" fillId="0" borderId="4" xfId="753" applyNumberFormat="1" applyFont="1" applyBorder="1" applyAlignment="1">
      <alignment horizontal="center"/>
    </xf>
    <xf numFmtId="165" fontId="10" fillId="0" borderId="4" xfId="754" applyNumberFormat="1" applyFont="1" applyFill="1" applyBorder="1" applyAlignment="1">
      <alignment horizontal="center"/>
    </xf>
    <xf numFmtId="3" fontId="10" fillId="0" borderId="4" xfId="755" applyNumberFormat="1" applyFont="1" applyFill="1" applyBorder="1" applyAlignment="1">
      <alignment horizontal="center"/>
    </xf>
    <xf numFmtId="164" fontId="10" fillId="0" borderId="4" xfId="753" applyNumberFormat="1" applyFont="1" applyFill="1" applyBorder="1" applyAlignment="1">
      <alignment horizontal="center"/>
    </xf>
    <xf numFmtId="165" fontId="10" fillId="0" borderId="3" xfId="754" applyNumberFormat="1" applyFont="1" applyBorder="1" applyAlignment="1">
      <alignment horizontal="center"/>
    </xf>
    <xf numFmtId="3" fontId="10" fillId="0" borderId="3" xfId="755" applyNumberFormat="1" applyFont="1" applyBorder="1" applyAlignment="1">
      <alignment horizontal="center"/>
    </xf>
    <xf numFmtId="164" fontId="10" fillId="0" borderId="3" xfId="753" applyNumberFormat="1" applyFont="1" applyBorder="1" applyAlignment="1">
      <alignment horizontal="center"/>
    </xf>
    <xf numFmtId="0" fontId="10" fillId="0" borderId="3" xfId="615" applyFont="1" applyFill="1" applyBorder="1" applyAlignment="1">
      <alignment horizontal="center"/>
    </xf>
    <xf numFmtId="0" fontId="10" fillId="0" borderId="0" xfId="753" applyFont="1" applyBorder="1"/>
    <xf numFmtId="165" fontId="10" fillId="0" borderId="0" xfId="754" applyNumberFormat="1" applyFont="1" applyBorder="1" applyAlignment="1">
      <alignment horizontal="center"/>
    </xf>
    <xf numFmtId="3" fontId="10" fillId="0" borderId="0" xfId="755" applyNumberFormat="1" applyFont="1" applyBorder="1" applyAlignment="1">
      <alignment horizontal="center"/>
    </xf>
    <xf numFmtId="164" fontId="10" fillId="0" borderId="0" xfId="753" applyNumberFormat="1" applyFont="1" applyBorder="1" applyAlignment="1">
      <alignment horizontal="center"/>
    </xf>
    <xf numFmtId="0" fontId="10" fillId="0" borderId="0" xfId="615" applyFont="1" applyFill="1" applyBorder="1" applyAlignment="1">
      <alignment horizontal="center"/>
    </xf>
    <xf numFmtId="0" fontId="10" fillId="9" borderId="2" xfId="753" applyFont="1" applyFill="1" applyBorder="1" applyAlignment="1">
      <alignment horizontal="center" vertical="center" wrapText="1"/>
    </xf>
    <xf numFmtId="0" fontId="10" fillId="9" borderId="2" xfId="753" applyNumberFormat="1" applyFont="1" applyFill="1" applyBorder="1" applyAlignment="1">
      <alignment horizontal="center" vertical="center" wrapText="1"/>
    </xf>
    <xf numFmtId="0" fontId="9" fillId="0" borderId="0" xfId="753" applyFont="1"/>
    <xf numFmtId="0" fontId="10" fillId="16" borderId="12" xfId="753" applyFont="1" applyFill="1" applyBorder="1" applyAlignment="1">
      <alignment horizontal="center"/>
    </xf>
    <xf numFmtId="0" fontId="10" fillId="16" borderId="11" xfId="753" applyFont="1" applyFill="1" applyBorder="1" applyAlignment="1">
      <alignment horizontal="center"/>
    </xf>
    <xf numFmtId="0" fontId="10" fillId="16" borderId="10" xfId="753" applyFont="1" applyFill="1" applyBorder="1" applyAlignment="1">
      <alignment horizontal="center"/>
    </xf>
    <xf numFmtId="0" fontId="11" fillId="15" borderId="12" xfId="753" applyFont="1" applyFill="1" applyBorder="1" applyAlignment="1">
      <alignment horizontal="center"/>
    </xf>
    <xf numFmtId="0" fontId="11" fillId="15" borderId="11" xfId="753" applyFont="1" applyFill="1" applyBorder="1" applyAlignment="1">
      <alignment horizontal="center"/>
    </xf>
    <xf numFmtId="0" fontId="11" fillId="15" borderId="10" xfId="753" applyFont="1" applyFill="1" applyBorder="1" applyAlignment="1">
      <alignment horizontal="center"/>
    </xf>
    <xf numFmtId="0" fontId="13" fillId="18" borderId="12" xfId="753" applyFont="1" applyFill="1" applyBorder="1" applyAlignment="1">
      <alignment horizontal="center"/>
    </xf>
    <xf numFmtId="0" fontId="13" fillId="18" borderId="11" xfId="753" applyFont="1" applyFill="1" applyBorder="1" applyAlignment="1">
      <alignment horizontal="center"/>
    </xf>
    <xf numFmtId="0" fontId="13" fillId="18" borderId="10" xfId="753" applyFont="1" applyFill="1" applyBorder="1" applyAlignment="1">
      <alignment horizontal="center"/>
    </xf>
    <xf numFmtId="0" fontId="13" fillId="17" borderId="12" xfId="753" applyFont="1" applyFill="1" applyBorder="1" applyAlignment="1">
      <alignment horizontal="center"/>
    </xf>
    <xf numFmtId="0" fontId="13" fillId="17" borderId="11" xfId="753" applyFont="1" applyFill="1" applyBorder="1" applyAlignment="1">
      <alignment horizontal="center"/>
    </xf>
    <xf numFmtId="0" fontId="13" fillId="17" borderId="10" xfId="753" applyFont="1" applyFill="1" applyBorder="1" applyAlignment="1">
      <alignment horizontal="center"/>
    </xf>
    <xf numFmtId="0" fontId="11" fillId="19" borderId="12" xfId="753" applyFont="1" applyFill="1" applyBorder="1" applyAlignment="1">
      <alignment horizontal="center"/>
    </xf>
    <xf numFmtId="0" fontId="11" fillId="19" borderId="11" xfId="753" applyFont="1" applyFill="1" applyBorder="1" applyAlignment="1">
      <alignment horizontal="center"/>
    </xf>
    <xf numFmtId="0" fontId="11" fillId="19" borderId="10" xfId="753" applyFont="1" applyFill="1" applyBorder="1" applyAlignment="1">
      <alignment horizontal="center"/>
    </xf>
    <xf numFmtId="0" fontId="10" fillId="4" borderId="12" xfId="753" applyFont="1" applyFill="1" applyBorder="1" applyAlignment="1">
      <alignment horizontal="center"/>
    </xf>
    <xf numFmtId="0" fontId="10" fillId="4" borderId="11" xfId="753" applyFont="1" applyFill="1" applyBorder="1" applyAlignment="1">
      <alignment horizontal="center"/>
    </xf>
    <xf numFmtId="0" fontId="10" fillId="4" borderId="10" xfId="753" applyFont="1" applyFill="1" applyBorder="1" applyAlignment="1">
      <alignment horizontal="center"/>
    </xf>
    <xf numFmtId="0" fontId="10" fillId="5" borderId="12" xfId="753" applyFont="1" applyFill="1" applyBorder="1" applyAlignment="1">
      <alignment horizontal="center"/>
    </xf>
    <xf numFmtId="0" fontId="10" fillId="5" borderId="11" xfId="753" applyFont="1" applyFill="1" applyBorder="1" applyAlignment="1">
      <alignment horizontal="center"/>
    </xf>
    <xf numFmtId="0" fontId="10" fillId="5" borderId="10" xfId="753" applyFont="1" applyFill="1" applyBorder="1" applyAlignment="1">
      <alignment horizontal="center"/>
    </xf>
    <xf numFmtId="0" fontId="10" fillId="6" borderId="12" xfId="753" applyFont="1" applyFill="1" applyBorder="1" applyAlignment="1">
      <alignment horizontal="center"/>
    </xf>
    <xf numFmtId="0" fontId="10" fillId="6" borderId="11" xfId="753" applyFont="1" applyFill="1" applyBorder="1" applyAlignment="1">
      <alignment horizontal="center"/>
    </xf>
    <xf numFmtId="0" fontId="10" fillId="6" borderId="10" xfId="753" applyFont="1" applyFill="1" applyBorder="1" applyAlignment="1">
      <alignment horizontal="center"/>
    </xf>
    <xf numFmtId="0" fontId="10" fillId="7" borderId="12" xfId="753" applyFont="1" applyFill="1" applyBorder="1" applyAlignment="1">
      <alignment horizontal="center"/>
    </xf>
    <xf numFmtId="0" fontId="10" fillId="7" borderId="11" xfId="753" applyFont="1" applyFill="1" applyBorder="1" applyAlignment="1">
      <alignment horizontal="center"/>
    </xf>
    <xf numFmtId="0" fontId="10" fillId="7" borderId="10" xfId="753" applyFont="1" applyFill="1" applyBorder="1" applyAlignment="1">
      <alignment horizontal="center"/>
    </xf>
    <xf numFmtId="0" fontId="10" fillId="8" borderId="12" xfId="753" applyFont="1" applyFill="1" applyBorder="1" applyAlignment="1">
      <alignment horizontal="center"/>
    </xf>
    <xf numFmtId="0" fontId="10" fillId="8" borderId="11" xfId="753" applyFont="1" applyFill="1" applyBorder="1" applyAlignment="1">
      <alignment horizontal="center"/>
    </xf>
    <xf numFmtId="0" fontId="10" fillId="8" borderId="10" xfId="753" applyFont="1" applyFill="1" applyBorder="1" applyAlignment="1">
      <alignment horizontal="center"/>
    </xf>
    <xf numFmtId="0" fontId="10" fillId="10" borderId="12" xfId="753" applyFont="1" applyFill="1" applyBorder="1" applyAlignment="1">
      <alignment horizontal="center"/>
    </xf>
    <xf numFmtId="0" fontId="10" fillId="10" borderId="11" xfId="753" applyFont="1" applyFill="1" applyBorder="1" applyAlignment="1">
      <alignment horizontal="center"/>
    </xf>
    <xf numFmtId="0" fontId="10" fillId="10" borderId="10" xfId="753" applyFont="1" applyFill="1" applyBorder="1" applyAlignment="1">
      <alignment horizontal="center"/>
    </xf>
    <xf numFmtId="0" fontId="10" fillId="11" borderId="12" xfId="753" applyFont="1" applyFill="1" applyBorder="1" applyAlignment="1">
      <alignment horizontal="center"/>
    </xf>
    <xf numFmtId="0" fontId="10" fillId="11" borderId="11" xfId="753" applyFont="1" applyFill="1" applyBorder="1" applyAlignment="1">
      <alignment horizontal="center"/>
    </xf>
    <xf numFmtId="0" fontId="10" fillId="11" borderId="10" xfId="753" applyFont="1" applyFill="1" applyBorder="1" applyAlignment="1">
      <alignment horizontal="center"/>
    </xf>
    <xf numFmtId="0" fontId="13" fillId="12" borderId="12" xfId="753" applyFont="1" applyFill="1" applyBorder="1" applyAlignment="1">
      <alignment horizontal="center"/>
    </xf>
    <xf numFmtId="0" fontId="13" fillId="12" borderId="11" xfId="753" applyFont="1" applyFill="1" applyBorder="1" applyAlignment="1">
      <alignment horizontal="center"/>
    </xf>
    <xf numFmtId="0" fontId="13" fillId="12" borderId="10" xfId="753" applyFont="1" applyFill="1" applyBorder="1" applyAlignment="1">
      <alignment horizontal="center"/>
    </xf>
    <xf numFmtId="0" fontId="10" fillId="13" borderId="12" xfId="753" applyFont="1" applyFill="1" applyBorder="1" applyAlignment="1">
      <alignment horizontal="center"/>
    </xf>
    <xf numFmtId="0" fontId="10" fillId="13" borderId="11" xfId="753" applyFont="1" applyFill="1" applyBorder="1" applyAlignment="1">
      <alignment horizontal="center"/>
    </xf>
    <xf numFmtId="0" fontId="10" fillId="13" borderId="10" xfId="753" applyFont="1" applyFill="1" applyBorder="1" applyAlignment="1">
      <alignment horizontal="center"/>
    </xf>
    <xf numFmtId="0" fontId="10" fillId="14" borderId="12" xfId="753" applyFont="1" applyFill="1" applyBorder="1" applyAlignment="1">
      <alignment horizontal="center"/>
    </xf>
    <xf numFmtId="0" fontId="10" fillId="14" borderId="11" xfId="753" applyFont="1" applyFill="1" applyBorder="1" applyAlignment="1">
      <alignment horizontal="center"/>
    </xf>
    <xf numFmtId="0" fontId="10" fillId="14" borderId="10" xfId="753" applyFont="1" applyFill="1" applyBorder="1" applyAlignment="1">
      <alignment horizontal="center"/>
    </xf>
  </cellXfs>
  <cellStyles count="756">
    <cellStyle name="Comma 2" xfId="755" xr:uid="{F6C25DC7-93DA-2449-8D11-87E107DF3842}"/>
    <cellStyle name="Followed Hyperlink" xfId="2" builtinId="9" hidden="1"/>
    <cellStyle name="Followed Hyperlink" xfId="4"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Good" xfId="707" builtinId="26"/>
    <cellStyle name="Good 2" xfId="720" xr:uid="{00000000-0005-0000-0000-000076010000}"/>
    <cellStyle name="Hyperlink" xfId="1" builtinId="8" hidden="1"/>
    <cellStyle name="Hyperlink" xfId="3"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Normal" xfId="0" builtinId="0"/>
    <cellStyle name="Normal 2" xfId="5" xr:uid="{00000000-0005-0000-0000-0000ED020000}"/>
    <cellStyle name="Normal 3" xfId="615" xr:uid="{00000000-0005-0000-0000-0000EE020000}"/>
    <cellStyle name="Normal 4" xfId="614" xr:uid="{00000000-0005-0000-0000-0000EF020000}"/>
    <cellStyle name="Normal 5" xfId="616" xr:uid="{00000000-0005-0000-0000-0000F0020000}"/>
    <cellStyle name="Normal 6" xfId="753" xr:uid="{4FF0B3A2-49FE-334C-86E2-AF7CDEAC520E}"/>
    <cellStyle name="Percent 2" xfId="754" xr:uid="{AFFF9208-DD22-214A-B9A8-9BC4C69C04E1}"/>
  </cellStyles>
  <dxfs count="0"/>
  <tableStyles count="0" defaultTableStyle="TableStyleMedium9" defaultPivotStyle="PivotStyleMedium4"/>
  <colors>
    <mruColors>
      <color rgb="FFA6B0E3"/>
      <color rgb="FFFFB4B4"/>
      <color rgb="FFE1BA7F"/>
      <color rgb="FFC37600"/>
      <color rgb="FF754600"/>
      <color rgb="FF319272"/>
      <color rgb="FF83BDAA"/>
      <color rgb="FFF49BF2"/>
      <color rgb="FF00CBFF"/>
      <color rgb="FF36D2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69"/>
  <sheetViews>
    <sheetView tabSelected="1" workbookViewId="0"/>
  </sheetViews>
  <sheetFormatPr baseColWidth="10" defaultColWidth="11.83203125" defaultRowHeight="16" customHeight="1" x14ac:dyDescent="0.15"/>
  <cols>
    <col min="1" max="4" width="11.6640625" style="4" customWidth="1"/>
    <col min="5" max="5" width="35" style="4" customWidth="1"/>
    <col min="6" max="6" width="23.33203125" style="4" customWidth="1"/>
    <col min="7" max="12" width="11.6640625" style="3" customWidth="1"/>
    <col min="13" max="19" width="11.83203125" style="3"/>
    <col min="20" max="20" width="11.83203125" style="59"/>
    <col min="21" max="16384" width="11.83203125" style="3"/>
  </cols>
  <sheetData>
    <row r="1" spans="1:19" ht="16" customHeight="1" x14ac:dyDescent="0.15">
      <c r="A1" s="1" t="s">
        <v>62</v>
      </c>
      <c r="B1" s="2"/>
      <c r="C1" s="3"/>
      <c r="D1" s="3"/>
    </row>
    <row r="2" spans="1:19" ht="16" customHeight="1" x14ac:dyDescent="0.15">
      <c r="A2" s="3"/>
      <c r="B2" s="3"/>
      <c r="C2" s="3"/>
      <c r="D2" s="3"/>
    </row>
    <row r="3" spans="1:19" ht="48" customHeight="1" x14ac:dyDescent="0.15">
      <c r="A3" s="5" t="s">
        <v>16</v>
      </c>
      <c r="B3" s="5" t="s">
        <v>19</v>
      </c>
      <c r="C3" s="5" t="s">
        <v>1</v>
      </c>
      <c r="D3" s="5" t="s">
        <v>0</v>
      </c>
      <c r="E3" s="5" t="s">
        <v>4</v>
      </c>
      <c r="F3" s="5" t="s">
        <v>5</v>
      </c>
      <c r="G3" s="32" t="s">
        <v>20</v>
      </c>
      <c r="H3" s="6" t="s">
        <v>21</v>
      </c>
      <c r="I3" s="7" t="s">
        <v>14</v>
      </c>
      <c r="J3" s="8" t="s">
        <v>15</v>
      </c>
      <c r="K3" s="9" t="s">
        <v>31</v>
      </c>
      <c r="L3" s="10" t="s">
        <v>32</v>
      </c>
      <c r="M3" s="49" t="s">
        <v>29</v>
      </c>
      <c r="N3" s="60" t="s">
        <v>33</v>
      </c>
      <c r="O3" s="50" t="s">
        <v>30</v>
      </c>
      <c r="P3" s="51" t="s">
        <v>23</v>
      </c>
      <c r="Q3" s="52" t="s">
        <v>24</v>
      </c>
      <c r="R3" s="54" t="s">
        <v>25</v>
      </c>
      <c r="S3" s="53" t="s">
        <v>26</v>
      </c>
    </row>
    <row r="4" spans="1:19" ht="16" customHeight="1" x14ac:dyDescent="0.15">
      <c r="A4" s="11">
        <v>1</v>
      </c>
      <c r="B4" s="13"/>
      <c r="C4" s="55" t="s">
        <v>3</v>
      </c>
      <c r="D4" s="13">
        <v>18</v>
      </c>
      <c r="E4" s="56" t="s">
        <v>7</v>
      </c>
      <c r="F4" s="14" t="s">
        <v>13</v>
      </c>
      <c r="G4" s="45">
        <v>22.8</v>
      </c>
      <c r="H4" s="15">
        <v>2.63</v>
      </c>
      <c r="I4" s="38">
        <v>6.54</v>
      </c>
      <c r="J4" s="15">
        <v>6.4574999999999996</v>
      </c>
      <c r="K4" s="15">
        <v>8.6</v>
      </c>
      <c r="L4" s="15">
        <v>6.7299999999999995</v>
      </c>
      <c r="M4" s="15">
        <v>0.48891024000000011</v>
      </c>
      <c r="N4" s="15">
        <v>0.67599324000000016</v>
      </c>
      <c r="O4" s="15">
        <v>0.80180379000000024</v>
      </c>
      <c r="P4" s="15">
        <v>1.0134474300000005</v>
      </c>
      <c r="Q4" s="15">
        <v>2.6048448000000004</v>
      </c>
      <c r="R4" s="15">
        <v>1.3702569000000007</v>
      </c>
      <c r="S4" s="15">
        <v>1.7229963000000004</v>
      </c>
    </row>
    <row r="5" spans="1:19" ht="16" customHeight="1" x14ac:dyDescent="0.15">
      <c r="A5" s="16">
        <v>2</v>
      </c>
      <c r="B5" s="17"/>
      <c r="C5" s="24" t="s">
        <v>3</v>
      </c>
      <c r="D5" s="17">
        <v>22</v>
      </c>
      <c r="E5" s="24" t="s">
        <v>6</v>
      </c>
      <c r="F5" s="17" t="s">
        <v>13</v>
      </c>
      <c r="G5" s="39">
        <v>16.2</v>
      </c>
      <c r="H5" s="18">
        <v>2.85</v>
      </c>
      <c r="I5" s="26">
        <v>19.3</v>
      </c>
      <c r="J5" s="18">
        <v>6.3750100000000014</v>
      </c>
      <c r="K5" s="18">
        <v>8.4699999999999989</v>
      </c>
      <c r="L5" s="18">
        <v>7.93</v>
      </c>
      <c r="M5" s="18">
        <v>0.62765207999999995</v>
      </c>
      <c r="N5" s="18">
        <v>0.78381432000000006</v>
      </c>
      <c r="O5" s="18">
        <v>0.71385761999999997</v>
      </c>
      <c r="P5" s="18">
        <v>1.1543952</v>
      </c>
      <c r="Q5" s="18">
        <v>1.5024113999999997</v>
      </c>
      <c r="R5" s="18">
        <v>0.87428459999999975</v>
      </c>
      <c r="S5" s="18">
        <v>1.1968361999999997</v>
      </c>
    </row>
    <row r="6" spans="1:19" ht="16" customHeight="1" x14ac:dyDescent="0.15">
      <c r="A6" s="16">
        <v>3</v>
      </c>
      <c r="B6" s="17"/>
      <c r="C6" s="24" t="s">
        <v>2</v>
      </c>
      <c r="D6" s="17">
        <v>28</v>
      </c>
      <c r="E6" s="24" t="s">
        <v>6</v>
      </c>
      <c r="F6" s="17" t="s">
        <v>13</v>
      </c>
      <c r="G6" s="39">
        <v>18.3</v>
      </c>
      <c r="H6" s="18">
        <v>2.19</v>
      </c>
      <c r="I6" s="26">
        <v>3</v>
      </c>
      <c r="J6" s="18">
        <v>1.6425599999999998</v>
      </c>
      <c r="K6" s="18">
        <v>9.91</v>
      </c>
      <c r="L6" s="18">
        <v>4.5900000000000007</v>
      </c>
      <c r="M6" s="18">
        <v>0.24418464000000001</v>
      </c>
      <c r="N6" s="18">
        <v>1.0708655999999999</v>
      </c>
      <c r="O6" s="18">
        <v>2.4343536000000001</v>
      </c>
      <c r="P6" s="18">
        <v>3.1692528000000002</v>
      </c>
      <c r="Q6" s="18">
        <v>4.5242232000000007</v>
      </c>
      <c r="R6" s="18">
        <v>1.87858608</v>
      </c>
      <c r="S6" s="18">
        <v>1.8946620000000001</v>
      </c>
    </row>
    <row r="7" spans="1:19" ht="16" customHeight="1" x14ac:dyDescent="0.15">
      <c r="A7" s="16">
        <v>4</v>
      </c>
      <c r="B7" s="16"/>
      <c r="C7" s="19" t="s">
        <v>3</v>
      </c>
      <c r="D7" s="16">
        <v>19</v>
      </c>
      <c r="E7" s="24" t="s">
        <v>8</v>
      </c>
      <c r="F7" s="17" t="s">
        <v>13</v>
      </c>
      <c r="G7" s="40">
        <v>11.799999999999999</v>
      </c>
      <c r="H7" s="21">
        <v>0.65</v>
      </c>
      <c r="I7" s="20">
        <v>13</v>
      </c>
      <c r="J7" s="21">
        <v>6.0368000000000013</v>
      </c>
      <c r="K7" s="21">
        <v>7.76</v>
      </c>
      <c r="L7" s="21">
        <v>10.299999999999999</v>
      </c>
      <c r="M7" s="21">
        <v>0.31708268000000001</v>
      </c>
      <c r="N7" s="21">
        <v>1.2868834299999998</v>
      </c>
      <c r="O7" s="21">
        <v>1.1924582399999999</v>
      </c>
      <c r="P7" s="21">
        <v>1.5595807999999998</v>
      </c>
      <c r="Q7" s="21">
        <v>3.3813919999999995</v>
      </c>
      <c r="R7" s="21">
        <v>2.1530495999999997</v>
      </c>
      <c r="S7" s="21">
        <v>1.9736287999999997</v>
      </c>
    </row>
    <row r="8" spans="1:19" ht="16" customHeight="1" x14ac:dyDescent="0.15">
      <c r="A8" s="16">
        <v>5</v>
      </c>
      <c r="B8" s="16"/>
      <c r="C8" s="19" t="s">
        <v>3</v>
      </c>
      <c r="D8" s="16">
        <v>20</v>
      </c>
      <c r="E8" s="24" t="s">
        <v>6</v>
      </c>
      <c r="F8" s="17" t="s">
        <v>13</v>
      </c>
      <c r="G8" s="40">
        <v>26.200000000000003</v>
      </c>
      <c r="H8" s="21">
        <v>0.6</v>
      </c>
      <c r="I8" s="20">
        <v>4.83</v>
      </c>
      <c r="J8" s="21">
        <v>6.8211000000000004</v>
      </c>
      <c r="K8" s="21">
        <v>12</v>
      </c>
      <c r="L8" s="21">
        <v>7.68</v>
      </c>
      <c r="M8" s="21">
        <v>0.33884760000000008</v>
      </c>
      <c r="N8" s="21">
        <v>0.66608360000000011</v>
      </c>
      <c r="O8" s="21">
        <v>1.1299560000000002</v>
      </c>
      <c r="P8" s="21">
        <v>1.6063100000000001</v>
      </c>
      <c r="Q8" s="21">
        <v>1.6063100000000001</v>
      </c>
      <c r="R8" s="21">
        <v>1.4955300000000002</v>
      </c>
      <c r="S8" s="21">
        <v>1.4844520000000003</v>
      </c>
    </row>
    <row r="9" spans="1:19" ht="16" customHeight="1" x14ac:dyDescent="0.15">
      <c r="A9" s="16">
        <v>6</v>
      </c>
      <c r="B9" s="16"/>
      <c r="C9" s="19" t="s">
        <v>3</v>
      </c>
      <c r="D9" s="16">
        <v>25</v>
      </c>
      <c r="E9" s="24" t="s">
        <v>7</v>
      </c>
      <c r="F9" s="17" t="s">
        <v>13</v>
      </c>
      <c r="G9" s="40">
        <v>21.4</v>
      </c>
      <c r="H9" s="21">
        <v>2.29</v>
      </c>
      <c r="I9" s="20">
        <v>2.09</v>
      </c>
      <c r="J9" s="21">
        <v>4.3810000000000002</v>
      </c>
      <c r="K9" s="21">
        <v>11.5</v>
      </c>
      <c r="L9" s="21">
        <v>7.6</v>
      </c>
      <c r="M9" s="21">
        <v>0.44091251999999997</v>
      </c>
      <c r="N9" s="21">
        <v>1.106379</v>
      </c>
      <c r="O9" s="21">
        <v>1.1874782250000002</v>
      </c>
      <c r="P9" s="21">
        <v>1.3803898500000003</v>
      </c>
      <c r="Q9" s="21">
        <v>2.343519000000001</v>
      </c>
      <c r="R9" s="21">
        <v>1.9719855000000006</v>
      </c>
      <c r="S9" s="21">
        <v>1.7862187500000002</v>
      </c>
    </row>
    <row r="10" spans="1:19" ht="16" customHeight="1" x14ac:dyDescent="0.15">
      <c r="A10" s="16">
        <v>7</v>
      </c>
      <c r="B10" s="16"/>
      <c r="C10" s="19" t="s">
        <v>3</v>
      </c>
      <c r="D10" s="16">
        <v>35</v>
      </c>
      <c r="E10" s="24" t="s">
        <v>8</v>
      </c>
      <c r="F10" s="17" t="s">
        <v>13</v>
      </c>
      <c r="G10" s="40">
        <v>16.900000000000002</v>
      </c>
      <c r="H10" s="21">
        <v>1.7500000000000002</v>
      </c>
      <c r="I10" s="20">
        <v>5.7</v>
      </c>
      <c r="J10" s="21">
        <v>6.6764599999999996</v>
      </c>
      <c r="K10" s="21">
        <v>5.9499999999999993</v>
      </c>
      <c r="L10" s="21">
        <v>3.44</v>
      </c>
      <c r="M10" s="21">
        <v>0.24503732</v>
      </c>
      <c r="N10" s="21">
        <v>1.1938098699999997</v>
      </c>
      <c r="O10" s="21">
        <v>2.0737772999999993</v>
      </c>
      <c r="P10" s="21">
        <v>1.3926837749999998</v>
      </c>
      <c r="Q10" s="21">
        <v>3.3139774499999994</v>
      </c>
      <c r="R10" s="21">
        <v>3.0090101999999992</v>
      </c>
      <c r="S10" s="21">
        <v>2.6227183499999995</v>
      </c>
    </row>
    <row r="11" spans="1:19" ht="16" customHeight="1" x14ac:dyDescent="0.15">
      <c r="A11" s="16">
        <v>8</v>
      </c>
      <c r="B11" s="16"/>
      <c r="C11" s="19" t="s">
        <v>3</v>
      </c>
      <c r="D11" s="16">
        <v>25</v>
      </c>
      <c r="E11" s="24" t="s">
        <v>8</v>
      </c>
      <c r="F11" s="17" t="s">
        <v>13</v>
      </c>
      <c r="G11" s="40">
        <v>18</v>
      </c>
      <c r="H11" s="21">
        <v>1.23</v>
      </c>
      <c r="I11" s="20">
        <v>11.5</v>
      </c>
      <c r="J11" s="21">
        <v>5.4177999999999997</v>
      </c>
      <c r="K11" s="21">
        <v>11</v>
      </c>
      <c r="L11" s="21">
        <v>6.7</v>
      </c>
      <c r="M11" s="21">
        <v>0.56255472000000006</v>
      </c>
      <c r="N11" s="21">
        <v>0.90410580000000007</v>
      </c>
      <c r="O11" s="21">
        <v>0.82139399999999996</v>
      </c>
      <c r="P11" s="21">
        <v>0.69737399999999994</v>
      </c>
      <c r="Q11" s="21">
        <v>1.18296</v>
      </c>
      <c r="R11" s="21">
        <v>0.94732199999999989</v>
      </c>
      <c r="S11" s="21">
        <v>1.7171999999999998</v>
      </c>
    </row>
    <row r="12" spans="1:19" ht="16" customHeight="1" x14ac:dyDescent="0.15">
      <c r="A12" s="16">
        <v>9</v>
      </c>
      <c r="B12" s="17"/>
      <c r="C12" s="24" t="s">
        <v>3</v>
      </c>
      <c r="D12" s="17">
        <v>34</v>
      </c>
      <c r="E12" s="24" t="s">
        <v>7</v>
      </c>
      <c r="F12" s="17" t="s">
        <v>12</v>
      </c>
      <c r="G12" s="39">
        <v>26.200000000000003</v>
      </c>
      <c r="H12" s="18">
        <v>3.1</v>
      </c>
      <c r="I12" s="26">
        <v>6.88</v>
      </c>
      <c r="J12" s="18">
        <v>3.4031899999999995</v>
      </c>
      <c r="K12" s="18">
        <v>6.64</v>
      </c>
      <c r="L12" s="18">
        <v>3.5000000000000004</v>
      </c>
      <c r="M12" s="18">
        <v>0.16396775999999999</v>
      </c>
      <c r="N12" s="18">
        <v>1.36268352</v>
      </c>
      <c r="O12" s="18">
        <v>1.5792744000000003</v>
      </c>
      <c r="P12" s="18">
        <v>2.0346480000000002</v>
      </c>
      <c r="Q12" s="18">
        <v>4.1274288000000015</v>
      </c>
      <c r="R12" s="18">
        <v>2.6353536000000006</v>
      </c>
      <c r="S12" s="18">
        <v>2.2671792000000006</v>
      </c>
    </row>
    <row r="13" spans="1:19" ht="16" customHeight="1" x14ac:dyDescent="0.15">
      <c r="A13" s="16">
        <v>10</v>
      </c>
      <c r="B13" s="17">
        <v>119</v>
      </c>
      <c r="C13" s="24" t="s">
        <v>3</v>
      </c>
      <c r="D13" s="17">
        <v>23</v>
      </c>
      <c r="E13" s="25" t="s">
        <v>7</v>
      </c>
      <c r="F13" s="22" t="s">
        <v>12</v>
      </c>
      <c r="G13" s="39">
        <v>35.699999999999996</v>
      </c>
      <c r="H13" s="18">
        <v>2.21</v>
      </c>
      <c r="I13" s="26">
        <v>5.75</v>
      </c>
      <c r="J13" s="18">
        <v>2.7401</v>
      </c>
      <c r="K13" s="18">
        <v>10.4</v>
      </c>
      <c r="L13" s="18">
        <v>6.6199999999999992</v>
      </c>
      <c r="M13" s="18">
        <v>0.31279863999999996</v>
      </c>
      <c r="N13" s="18">
        <v>0.95153871999999973</v>
      </c>
      <c r="O13" s="18">
        <v>0.66454570000000013</v>
      </c>
      <c r="P13" s="18">
        <v>0.66360839999999999</v>
      </c>
      <c r="Q13" s="18">
        <v>1.8464809999999998</v>
      </c>
      <c r="R13" s="18">
        <v>0.70672419999999991</v>
      </c>
      <c r="S13" s="18">
        <v>1.2184899999999999</v>
      </c>
    </row>
    <row r="14" spans="1:19" ht="16" customHeight="1" x14ac:dyDescent="0.15">
      <c r="A14" s="16">
        <v>11</v>
      </c>
      <c r="B14" s="16"/>
      <c r="C14" s="19" t="s">
        <v>3</v>
      </c>
      <c r="D14" s="16">
        <v>33</v>
      </c>
      <c r="E14" s="24" t="s">
        <v>7</v>
      </c>
      <c r="F14" s="17" t="s">
        <v>12</v>
      </c>
      <c r="G14" s="40">
        <v>21.9</v>
      </c>
      <c r="H14" s="21">
        <v>1.9</v>
      </c>
      <c r="I14" s="20">
        <v>12.9</v>
      </c>
      <c r="J14" s="21">
        <v>2.9869999999999997</v>
      </c>
      <c r="K14" s="21">
        <v>10.8</v>
      </c>
      <c r="L14" s="21">
        <v>4.33</v>
      </c>
      <c r="M14" s="21">
        <v>0.33993540000000005</v>
      </c>
      <c r="N14" s="21">
        <v>0.93582215999999996</v>
      </c>
      <c r="O14" s="21">
        <v>0.98757216000000003</v>
      </c>
      <c r="P14" s="21">
        <v>0.65596092000000006</v>
      </c>
      <c r="Q14" s="21">
        <v>1.8880056000000003</v>
      </c>
      <c r="R14" s="21">
        <v>1.5975432000000003</v>
      </c>
      <c r="S14" s="21">
        <v>1.5612354000000002</v>
      </c>
    </row>
    <row r="15" spans="1:19" ht="16" customHeight="1" x14ac:dyDescent="0.15">
      <c r="A15" s="16">
        <v>12</v>
      </c>
      <c r="B15" s="17"/>
      <c r="C15" s="24" t="s">
        <v>3</v>
      </c>
      <c r="D15" s="17">
        <v>24</v>
      </c>
      <c r="E15" s="24" t="s">
        <v>9</v>
      </c>
      <c r="F15" s="17" t="s">
        <v>13</v>
      </c>
      <c r="G15" s="39">
        <v>15</v>
      </c>
      <c r="H15" s="18">
        <v>1.1199999999999999</v>
      </c>
      <c r="I15" s="26">
        <v>5.0999999999999996</v>
      </c>
      <c r="J15" s="18">
        <v>3.1602999999999999</v>
      </c>
      <c r="K15" s="18">
        <v>8.9599999999999991</v>
      </c>
      <c r="L15" s="18">
        <v>10.9</v>
      </c>
      <c r="M15" s="18">
        <v>0.85818261000000007</v>
      </c>
      <c r="N15" s="18">
        <v>1.7413608300000003</v>
      </c>
      <c r="O15" s="18">
        <v>1.30451132</v>
      </c>
      <c r="P15" s="18">
        <v>2.2819440000000002</v>
      </c>
      <c r="Q15" s="18">
        <v>4.1455316000000009</v>
      </c>
      <c r="R15" s="18">
        <v>1.9016200000000003</v>
      </c>
      <c r="S15" s="18">
        <v>3.6511104000000008</v>
      </c>
    </row>
    <row r="16" spans="1:19" ht="16" customHeight="1" x14ac:dyDescent="0.15">
      <c r="A16" s="16">
        <v>13</v>
      </c>
      <c r="B16" s="17"/>
      <c r="C16" s="24" t="s">
        <v>3</v>
      </c>
      <c r="D16" s="17">
        <v>35</v>
      </c>
      <c r="E16" s="24" t="s">
        <v>8</v>
      </c>
      <c r="F16" s="17" t="s">
        <v>13</v>
      </c>
      <c r="G16" s="39">
        <v>11.899999999999999</v>
      </c>
      <c r="H16" s="18">
        <v>0.74</v>
      </c>
      <c r="I16" s="26">
        <v>4.18</v>
      </c>
      <c r="J16" s="18">
        <v>12.465600000000002</v>
      </c>
      <c r="K16" s="18">
        <v>6.9</v>
      </c>
      <c r="L16" s="18">
        <v>5.88</v>
      </c>
      <c r="M16" s="18">
        <v>0.47095688000000002</v>
      </c>
      <c r="N16" s="18">
        <v>1.4941419600000001</v>
      </c>
      <c r="O16" s="18">
        <v>1.5086229200000001</v>
      </c>
      <c r="P16" s="18">
        <v>1.7691740000000002</v>
      </c>
      <c r="Q16" s="18">
        <v>3.2649302000000002</v>
      </c>
      <c r="R16" s="18">
        <v>1.8335076000000003</v>
      </c>
      <c r="S16" s="18">
        <v>3.5705148000000002</v>
      </c>
    </row>
    <row r="17" spans="1:19" ht="16" customHeight="1" x14ac:dyDescent="0.15">
      <c r="A17" s="16">
        <v>14</v>
      </c>
      <c r="B17" s="17"/>
      <c r="C17" s="24" t="s">
        <v>3</v>
      </c>
      <c r="D17" s="17">
        <v>45</v>
      </c>
      <c r="E17" s="24" t="s">
        <v>7</v>
      </c>
      <c r="F17" s="17" t="s">
        <v>12</v>
      </c>
      <c r="G17" s="39">
        <v>12.8</v>
      </c>
      <c r="H17" s="18">
        <v>0.86</v>
      </c>
      <c r="I17" s="26">
        <v>9.44</v>
      </c>
      <c r="J17" s="18">
        <v>5.1856800000000005</v>
      </c>
      <c r="K17" s="18">
        <v>7.22</v>
      </c>
      <c r="L17" s="18">
        <v>4.72</v>
      </c>
      <c r="M17" s="18">
        <v>0.26820940000000004</v>
      </c>
      <c r="N17" s="18">
        <v>1.9237088</v>
      </c>
      <c r="O17" s="18">
        <v>4.2173615999999994</v>
      </c>
      <c r="P17" s="18">
        <v>5.1329729999999989</v>
      </c>
      <c r="Q17" s="18">
        <v>3.4682249999999994</v>
      </c>
      <c r="R17" s="18">
        <v>3.3294959999999993</v>
      </c>
      <c r="S17" s="18">
        <v>4.0786325999999988</v>
      </c>
    </row>
    <row r="18" spans="1:19" ht="16" customHeight="1" x14ac:dyDescent="0.15">
      <c r="A18" s="16">
        <v>15</v>
      </c>
      <c r="B18" s="16"/>
      <c r="C18" s="19" t="s">
        <v>3</v>
      </c>
      <c r="D18" s="16">
        <v>47</v>
      </c>
      <c r="E18" s="24" t="s">
        <v>6</v>
      </c>
      <c r="F18" s="17" t="s">
        <v>13</v>
      </c>
      <c r="G18" s="40">
        <v>17</v>
      </c>
      <c r="H18" s="21">
        <v>2.73</v>
      </c>
      <c r="I18" s="20">
        <v>9.65</v>
      </c>
      <c r="J18" s="21">
        <v>4.1664000000000003</v>
      </c>
      <c r="K18" s="21">
        <v>13</v>
      </c>
      <c r="L18" s="21">
        <v>1.7500000000000002</v>
      </c>
      <c r="M18" s="21">
        <v>0.65657087999999997</v>
      </c>
      <c r="N18" s="21">
        <v>1.49096304</v>
      </c>
      <c r="O18" s="21">
        <v>2.2042670999999996</v>
      </c>
      <c r="P18" s="21">
        <v>1.2459580699999997</v>
      </c>
      <c r="Q18" s="21">
        <v>2.2042670999999996</v>
      </c>
      <c r="R18" s="21">
        <v>1.4335552699999998</v>
      </c>
      <c r="S18" s="21">
        <v>2.3762311999999999</v>
      </c>
    </row>
    <row r="19" spans="1:19" ht="16" customHeight="1" x14ac:dyDescent="0.15">
      <c r="A19" s="16">
        <v>16</v>
      </c>
      <c r="B19" s="17">
        <v>114</v>
      </c>
      <c r="C19" s="24" t="s">
        <v>3</v>
      </c>
      <c r="D19" s="17">
        <v>20</v>
      </c>
      <c r="E19" s="24" t="s">
        <v>6</v>
      </c>
      <c r="F19" s="17" t="s">
        <v>13</v>
      </c>
      <c r="G19" s="39">
        <v>18</v>
      </c>
      <c r="H19" s="18">
        <v>2.06</v>
      </c>
      <c r="I19" s="26">
        <v>8.5</v>
      </c>
      <c r="J19" s="18">
        <v>7.535400000000001</v>
      </c>
      <c r="K19" s="18">
        <v>12.5</v>
      </c>
      <c r="L19" s="18">
        <v>5.48</v>
      </c>
      <c r="M19" s="18">
        <v>0.40004880000000004</v>
      </c>
      <c r="N19" s="18">
        <v>0.81558336000000009</v>
      </c>
      <c r="O19" s="18">
        <v>0.86913828000000015</v>
      </c>
      <c r="P19" s="18">
        <v>1.0544316</v>
      </c>
      <c r="Q19" s="18">
        <v>1.8734076000000004</v>
      </c>
      <c r="R19" s="18">
        <v>1.0851432000000001</v>
      </c>
      <c r="S19" s="18">
        <v>1.177278</v>
      </c>
    </row>
    <row r="20" spans="1:19" ht="16" customHeight="1" x14ac:dyDescent="0.15">
      <c r="A20" s="16">
        <v>17</v>
      </c>
      <c r="B20" s="17"/>
      <c r="C20" s="24" t="s">
        <v>3</v>
      </c>
      <c r="D20" s="17">
        <v>19</v>
      </c>
      <c r="E20" s="24" t="s">
        <v>8</v>
      </c>
      <c r="F20" s="17" t="s">
        <v>13</v>
      </c>
      <c r="G20" s="39">
        <v>14.6</v>
      </c>
      <c r="H20" s="18">
        <v>1.1100000000000001</v>
      </c>
      <c r="I20" s="26">
        <v>9.39</v>
      </c>
      <c r="J20" s="18">
        <v>6.4459999999999997</v>
      </c>
      <c r="K20" s="18">
        <v>6.660000000000001</v>
      </c>
      <c r="L20" s="18">
        <v>6.8500000000000005</v>
      </c>
      <c r="M20" s="18">
        <v>0.32388048000000003</v>
      </c>
      <c r="N20" s="18">
        <v>1.2529921599999998</v>
      </c>
      <c r="O20" s="18">
        <v>2.2618700000000005</v>
      </c>
      <c r="P20" s="18">
        <v>1.0074021000000002</v>
      </c>
      <c r="Q20" s="18">
        <v>2.070481</v>
      </c>
      <c r="R20" s="18">
        <v>1.6581247000000001</v>
      </c>
      <c r="S20" s="18">
        <v>3.2188150000000002</v>
      </c>
    </row>
    <row r="21" spans="1:19" ht="16" customHeight="1" x14ac:dyDescent="0.15">
      <c r="A21" s="16">
        <v>18</v>
      </c>
      <c r="B21" s="16"/>
      <c r="C21" s="19" t="s">
        <v>3</v>
      </c>
      <c r="D21" s="16">
        <v>26</v>
      </c>
      <c r="E21" s="24" t="s">
        <v>6</v>
      </c>
      <c r="F21" s="17" t="s">
        <v>13</v>
      </c>
      <c r="G21" s="40">
        <v>17</v>
      </c>
      <c r="H21" s="21">
        <v>0.94000000000000006</v>
      </c>
      <c r="I21" s="20">
        <v>5.6899999999999995</v>
      </c>
      <c r="J21" s="21">
        <v>8.0622199999999999</v>
      </c>
      <c r="K21" s="21">
        <v>18.600000000000001</v>
      </c>
      <c r="L21" s="21">
        <v>6.2</v>
      </c>
      <c r="M21" s="21">
        <v>0.57342720000000003</v>
      </c>
      <c r="N21" s="21">
        <v>1.0877197199999999</v>
      </c>
      <c r="O21" s="21">
        <v>0.59903784000000004</v>
      </c>
      <c r="P21" s="21">
        <v>0.55767887999999999</v>
      </c>
      <c r="Q21" s="21">
        <v>2.2814136</v>
      </c>
      <c r="R21" s="21">
        <v>2.2280471999999998</v>
      </c>
      <c r="S21" s="21">
        <v>2.4014880000000001</v>
      </c>
    </row>
    <row r="22" spans="1:19" ht="16" customHeight="1" x14ac:dyDescent="0.15">
      <c r="A22" s="16">
        <v>19</v>
      </c>
      <c r="B22" s="16"/>
      <c r="C22" s="19" t="s">
        <v>2</v>
      </c>
      <c r="D22" s="16">
        <v>23</v>
      </c>
      <c r="E22" s="24" t="s">
        <v>6</v>
      </c>
      <c r="F22" s="17" t="s">
        <v>13</v>
      </c>
      <c r="G22" s="40">
        <v>14.399999999999999</v>
      </c>
      <c r="H22" s="21">
        <v>1.02</v>
      </c>
      <c r="I22" s="20">
        <v>3.8699999999999997</v>
      </c>
      <c r="J22" s="21">
        <v>4.7619199999999999</v>
      </c>
      <c r="K22" s="21">
        <v>14.899999999999999</v>
      </c>
      <c r="L22" s="21">
        <v>8.3000000000000007</v>
      </c>
      <c r="M22" s="21">
        <v>0.54184200000000005</v>
      </c>
      <c r="N22" s="21">
        <v>2.1844788000000004</v>
      </c>
      <c r="O22" s="21">
        <v>1.9138255200000001</v>
      </c>
      <c r="P22" s="21">
        <v>0.77676048000000009</v>
      </c>
      <c r="Q22" s="21">
        <v>5.053622400000001</v>
      </c>
      <c r="R22" s="21">
        <v>2.7607752000000003</v>
      </c>
      <c r="S22" s="21">
        <v>3.0649284000000008</v>
      </c>
    </row>
    <row r="23" spans="1:19" ht="16" customHeight="1" x14ac:dyDescent="0.15">
      <c r="A23" s="16">
        <v>20</v>
      </c>
      <c r="B23" s="17"/>
      <c r="C23" s="24" t="s">
        <v>2</v>
      </c>
      <c r="D23" s="16">
        <v>23</v>
      </c>
      <c r="E23" s="24" t="s">
        <v>6</v>
      </c>
      <c r="F23" s="17" t="s">
        <v>13</v>
      </c>
      <c r="G23" s="40">
        <v>16.3</v>
      </c>
      <c r="H23" s="21">
        <v>4.41</v>
      </c>
      <c r="I23" s="20">
        <v>5.0599999999999996</v>
      </c>
      <c r="J23" s="21">
        <v>1.83192</v>
      </c>
      <c r="K23" s="18" t="s">
        <v>22</v>
      </c>
      <c r="L23" s="18" t="s">
        <v>22</v>
      </c>
      <c r="M23" s="18" t="s">
        <v>22</v>
      </c>
      <c r="N23" s="18" t="s">
        <v>22</v>
      </c>
      <c r="O23" s="18" t="s">
        <v>22</v>
      </c>
      <c r="P23" s="18" t="s">
        <v>22</v>
      </c>
      <c r="Q23" s="18" t="s">
        <v>22</v>
      </c>
      <c r="R23" s="18" t="s">
        <v>22</v>
      </c>
      <c r="S23" s="18" t="s">
        <v>22</v>
      </c>
    </row>
    <row r="24" spans="1:19" ht="16" customHeight="1" x14ac:dyDescent="0.15">
      <c r="A24" s="16">
        <v>21</v>
      </c>
      <c r="B24" s="17">
        <v>145</v>
      </c>
      <c r="C24" s="19" t="s">
        <v>3</v>
      </c>
      <c r="D24" s="16">
        <v>22</v>
      </c>
      <c r="E24" s="24" t="s">
        <v>6</v>
      </c>
      <c r="F24" s="17" t="s">
        <v>13</v>
      </c>
      <c r="G24" s="40">
        <v>21.5</v>
      </c>
      <c r="H24" s="21">
        <v>0.98</v>
      </c>
      <c r="I24" s="20">
        <v>3.15</v>
      </c>
      <c r="J24" s="21">
        <v>7.6859999999999999</v>
      </c>
      <c r="K24" s="18">
        <v>21.2</v>
      </c>
      <c r="L24" s="18">
        <v>6.34</v>
      </c>
      <c r="M24" s="21">
        <v>1.1320911</v>
      </c>
      <c r="N24" s="21">
        <v>0.67508279999999998</v>
      </c>
      <c r="O24" s="21">
        <v>0.52080336000000005</v>
      </c>
      <c r="P24" s="21">
        <v>0.26622288</v>
      </c>
      <c r="Q24" s="21">
        <v>1.7774064000000003</v>
      </c>
      <c r="R24" s="21">
        <v>1.0555776000000001</v>
      </c>
      <c r="S24" s="21">
        <v>2.4449040000000002</v>
      </c>
    </row>
    <row r="25" spans="1:19" ht="16" customHeight="1" x14ac:dyDescent="0.15">
      <c r="A25" s="16">
        <v>22</v>
      </c>
      <c r="B25" s="17" t="s">
        <v>18</v>
      </c>
      <c r="C25" s="24" t="s">
        <v>3</v>
      </c>
      <c r="D25" s="17">
        <v>28</v>
      </c>
      <c r="E25" s="24" t="s">
        <v>10</v>
      </c>
      <c r="F25" s="17" t="s">
        <v>13</v>
      </c>
      <c r="G25" s="39">
        <v>20.3</v>
      </c>
      <c r="H25" s="18">
        <v>1.63</v>
      </c>
      <c r="I25" s="26">
        <v>7.41</v>
      </c>
      <c r="J25" s="18">
        <v>6.8693299999999979</v>
      </c>
      <c r="K25" s="18">
        <v>6.4</v>
      </c>
      <c r="L25" s="18">
        <v>4.5999999999999996</v>
      </c>
      <c r="M25" s="18">
        <v>0.51102932999999995</v>
      </c>
      <c r="N25" s="18">
        <v>2.1753652899999998</v>
      </c>
      <c r="O25" s="18">
        <v>1.2478874799999999</v>
      </c>
      <c r="P25" s="18">
        <v>1.6784965399999996</v>
      </c>
      <c r="Q25" s="18">
        <v>4.6576081999999994</v>
      </c>
      <c r="R25" s="18">
        <v>3.9545729999999994</v>
      </c>
      <c r="S25" s="18">
        <v>5.0750353500000003</v>
      </c>
    </row>
    <row r="26" spans="1:19" ht="16" customHeight="1" x14ac:dyDescent="0.15">
      <c r="A26" s="16">
        <v>23</v>
      </c>
      <c r="B26" s="17"/>
      <c r="C26" s="24" t="s">
        <v>2</v>
      </c>
      <c r="D26" s="17">
        <v>26</v>
      </c>
      <c r="E26" s="25" t="s">
        <v>6</v>
      </c>
      <c r="F26" s="22" t="s">
        <v>13</v>
      </c>
      <c r="G26" s="39">
        <v>8.34</v>
      </c>
      <c r="H26" s="18">
        <v>1.83</v>
      </c>
      <c r="I26" s="26">
        <v>4.84</v>
      </c>
      <c r="J26" s="18">
        <v>4.0043999999999995</v>
      </c>
      <c r="K26" s="18" t="s">
        <v>22</v>
      </c>
      <c r="L26" s="18" t="s">
        <v>22</v>
      </c>
      <c r="M26" s="18" t="s">
        <v>22</v>
      </c>
      <c r="N26" s="18" t="s">
        <v>22</v>
      </c>
      <c r="O26" s="18" t="s">
        <v>22</v>
      </c>
      <c r="P26" s="18" t="s">
        <v>22</v>
      </c>
      <c r="Q26" s="18" t="s">
        <v>22</v>
      </c>
      <c r="R26" s="18" t="s">
        <v>22</v>
      </c>
      <c r="S26" s="18" t="s">
        <v>22</v>
      </c>
    </row>
    <row r="27" spans="1:19" ht="16" customHeight="1" x14ac:dyDescent="0.15">
      <c r="A27" s="16">
        <v>24</v>
      </c>
      <c r="B27" s="16"/>
      <c r="C27" s="19" t="s">
        <v>3</v>
      </c>
      <c r="D27" s="16">
        <v>30</v>
      </c>
      <c r="E27" s="24" t="s">
        <v>8</v>
      </c>
      <c r="F27" s="17" t="s">
        <v>13</v>
      </c>
      <c r="G27" s="40">
        <v>15.1</v>
      </c>
      <c r="H27" s="21">
        <v>1.29</v>
      </c>
      <c r="I27" s="20">
        <v>4.5999999999999996</v>
      </c>
      <c r="J27" s="21">
        <v>6.0902599999999998</v>
      </c>
      <c r="K27" s="21">
        <v>8.6999999999999993</v>
      </c>
      <c r="L27" s="21">
        <v>2.21</v>
      </c>
      <c r="M27" s="21">
        <v>0.40307388000000005</v>
      </c>
      <c r="N27" s="21">
        <v>1.6294476</v>
      </c>
      <c r="O27" s="21">
        <v>1.5576486300000001</v>
      </c>
      <c r="P27" s="21">
        <v>1.51013865</v>
      </c>
      <c r="Q27" s="21">
        <v>3.2747950500000003</v>
      </c>
      <c r="R27" s="21">
        <v>2.3415633000000002</v>
      </c>
      <c r="S27" s="21">
        <v>2.4433703999999996</v>
      </c>
    </row>
    <row r="28" spans="1:19" ht="16" customHeight="1" x14ac:dyDescent="0.15">
      <c r="A28" s="16">
        <v>25</v>
      </c>
      <c r="B28" s="17">
        <v>122</v>
      </c>
      <c r="C28" s="24" t="s">
        <v>2</v>
      </c>
      <c r="D28" s="17">
        <v>24</v>
      </c>
      <c r="E28" s="24" t="s">
        <v>6</v>
      </c>
      <c r="F28" s="17" t="s">
        <v>13</v>
      </c>
      <c r="G28" s="39">
        <v>11.200000000000001</v>
      </c>
      <c r="H28" s="18">
        <v>0.67999999999999994</v>
      </c>
      <c r="I28" s="26">
        <v>2.81</v>
      </c>
      <c r="J28" s="18">
        <v>6.1600100000000007</v>
      </c>
      <c r="K28" s="18">
        <v>23.3</v>
      </c>
      <c r="L28" s="18">
        <v>13.5</v>
      </c>
      <c r="M28" s="18">
        <v>0.63351285000000002</v>
      </c>
      <c r="N28" s="18">
        <v>1.5346105500000002</v>
      </c>
      <c r="O28" s="18">
        <v>1.54714785</v>
      </c>
      <c r="P28" s="18">
        <v>2.1429540000000005</v>
      </c>
      <c r="Q28" s="18">
        <v>2.5650510000000004</v>
      </c>
      <c r="R28" s="18">
        <v>1.1607667500000001</v>
      </c>
      <c r="S28" s="18">
        <v>2.5650510000000004</v>
      </c>
    </row>
    <row r="29" spans="1:19" ht="16" customHeight="1" x14ac:dyDescent="0.15">
      <c r="A29" s="16">
        <v>26</v>
      </c>
      <c r="B29" s="17"/>
      <c r="C29" s="24" t="s">
        <v>3</v>
      </c>
      <c r="D29" s="17">
        <v>32</v>
      </c>
      <c r="E29" s="24" t="s">
        <v>6</v>
      </c>
      <c r="F29" s="17" t="s">
        <v>13</v>
      </c>
      <c r="G29" s="39">
        <v>36.6</v>
      </c>
      <c r="H29" s="18">
        <v>1.27</v>
      </c>
      <c r="I29" s="26">
        <v>8.48</v>
      </c>
      <c r="J29" s="18">
        <v>2.65482</v>
      </c>
      <c r="K29" s="18">
        <v>4.4799999999999995</v>
      </c>
      <c r="L29" s="18">
        <v>4.3</v>
      </c>
      <c r="M29" s="18">
        <v>0.28345200000000004</v>
      </c>
      <c r="N29" s="18">
        <v>1.4477580000000001</v>
      </c>
      <c r="O29" s="18">
        <v>0.78855659999999983</v>
      </c>
      <c r="P29" s="18">
        <v>0.82630664999999992</v>
      </c>
      <c r="Q29" s="18">
        <v>3.9008384999999994</v>
      </c>
      <c r="R29" s="18">
        <v>1.8595394999999999</v>
      </c>
      <c r="S29" s="18">
        <v>1.3841684999999999</v>
      </c>
    </row>
    <row r="30" spans="1:19" ht="16" customHeight="1" x14ac:dyDescent="0.15">
      <c r="A30" s="16">
        <v>27</v>
      </c>
      <c r="B30" s="16"/>
      <c r="C30" s="19" t="s">
        <v>3</v>
      </c>
      <c r="D30" s="16">
        <v>26</v>
      </c>
      <c r="E30" s="24" t="s">
        <v>8</v>
      </c>
      <c r="F30" s="17" t="s">
        <v>13</v>
      </c>
      <c r="G30" s="40">
        <v>17.299999999999997</v>
      </c>
      <c r="H30" s="21">
        <v>1.01</v>
      </c>
      <c r="I30" s="20">
        <v>11.1</v>
      </c>
      <c r="J30" s="21">
        <v>8.2614000000000001</v>
      </c>
      <c r="K30" s="21">
        <v>11.899999999999999</v>
      </c>
      <c r="L30" s="21">
        <v>6.61</v>
      </c>
      <c r="M30" s="21">
        <v>0.44346031999999996</v>
      </c>
      <c r="N30" s="21">
        <v>1.5628747199999997</v>
      </c>
      <c r="O30" s="21">
        <v>0.87082493999999999</v>
      </c>
      <c r="P30" s="21">
        <v>1.04123772</v>
      </c>
      <c r="Q30" s="21">
        <v>2.8141559999999997</v>
      </c>
      <c r="R30" s="21">
        <v>1.8292013999999999</v>
      </c>
      <c r="S30" s="21">
        <v>3.1893767999999993</v>
      </c>
    </row>
    <row r="31" spans="1:19" ht="16" customHeight="1" x14ac:dyDescent="0.15">
      <c r="A31" s="16">
        <v>28</v>
      </c>
      <c r="B31" s="17"/>
      <c r="C31" s="24" t="s">
        <v>3</v>
      </c>
      <c r="D31" s="16">
        <v>25</v>
      </c>
      <c r="E31" s="24" t="s">
        <v>6</v>
      </c>
      <c r="F31" s="17" t="s">
        <v>13</v>
      </c>
      <c r="G31" s="40">
        <v>11.5</v>
      </c>
      <c r="H31" s="21">
        <v>1.1100000000000001</v>
      </c>
      <c r="I31" s="20">
        <v>15.7</v>
      </c>
      <c r="J31" s="21">
        <v>4.1095999999999995</v>
      </c>
      <c r="K31" s="18">
        <v>3.88</v>
      </c>
      <c r="L31" s="18">
        <v>5.86</v>
      </c>
      <c r="M31" s="21">
        <v>0.20143104000000006</v>
      </c>
      <c r="N31" s="21">
        <v>0.9622579200000001</v>
      </c>
      <c r="O31" s="21">
        <v>2.6554752000000001</v>
      </c>
      <c r="P31" s="21">
        <v>1.33668864</v>
      </c>
      <c r="Q31" s="21">
        <v>2.5212096000000002</v>
      </c>
      <c r="R31" s="21">
        <v>1.0994860800000001</v>
      </c>
      <c r="S31" s="21">
        <v>1.5216768000000001</v>
      </c>
    </row>
    <row r="32" spans="1:19" ht="16" customHeight="1" x14ac:dyDescent="0.15">
      <c r="A32" s="16">
        <v>29</v>
      </c>
      <c r="B32" s="17"/>
      <c r="C32" s="24" t="s">
        <v>3</v>
      </c>
      <c r="D32" s="16">
        <v>22</v>
      </c>
      <c r="E32" s="24" t="s">
        <v>6</v>
      </c>
      <c r="F32" s="17" t="s">
        <v>12</v>
      </c>
      <c r="G32" s="40">
        <v>20.3</v>
      </c>
      <c r="H32" s="21">
        <v>1.92</v>
      </c>
      <c r="I32" s="20">
        <v>11.899999999999999</v>
      </c>
      <c r="J32" s="21">
        <v>4.0468000000000002</v>
      </c>
      <c r="K32" s="18">
        <v>11.3</v>
      </c>
      <c r="L32" s="18">
        <v>7.4899999999999993</v>
      </c>
      <c r="M32" s="21">
        <v>0.73643682000000033</v>
      </c>
      <c r="N32" s="21">
        <v>1.3208070400000003</v>
      </c>
      <c r="O32" s="21">
        <v>1.25602488</v>
      </c>
      <c r="P32" s="21">
        <v>3.5101032000000001</v>
      </c>
      <c r="Q32" s="21">
        <v>2.2695848000000005</v>
      </c>
      <c r="R32" s="21">
        <v>1.4660672000000003</v>
      </c>
      <c r="S32" s="21">
        <v>1.7057127999999999</v>
      </c>
    </row>
    <row r="33" spans="1:19" ht="16" customHeight="1" x14ac:dyDescent="0.15">
      <c r="A33" s="16">
        <v>30</v>
      </c>
      <c r="B33" s="17" t="s">
        <v>17</v>
      </c>
      <c r="C33" s="24" t="s">
        <v>2</v>
      </c>
      <c r="D33" s="17">
        <v>27</v>
      </c>
      <c r="E33" s="24" t="s">
        <v>7</v>
      </c>
      <c r="F33" s="17" t="s">
        <v>12</v>
      </c>
      <c r="G33" s="39">
        <v>18.5</v>
      </c>
      <c r="H33" s="18">
        <v>0.44999999999999996</v>
      </c>
      <c r="I33" s="26">
        <v>8.5599999999999987</v>
      </c>
      <c r="J33" s="18">
        <v>12.005599999999999</v>
      </c>
      <c r="K33" s="18">
        <v>9.120000000000001</v>
      </c>
      <c r="L33" s="18">
        <v>3.92</v>
      </c>
      <c r="M33" s="18">
        <v>0.50200149999999999</v>
      </c>
      <c r="N33" s="18">
        <v>0.59924149999999998</v>
      </c>
      <c r="O33" s="18">
        <v>1.3321797500000003</v>
      </c>
      <c r="P33" s="18">
        <v>2.0615375</v>
      </c>
      <c r="Q33" s="18">
        <v>2.5591500000000003</v>
      </c>
      <c r="R33" s="18">
        <v>0.77627550000000012</v>
      </c>
      <c r="S33" s="18">
        <v>2.6728900000000002</v>
      </c>
    </row>
    <row r="34" spans="1:19" ht="16" customHeight="1" x14ac:dyDescent="0.15">
      <c r="A34" s="16">
        <v>31</v>
      </c>
      <c r="B34" s="16"/>
      <c r="C34" s="19" t="s">
        <v>2</v>
      </c>
      <c r="D34" s="16">
        <v>37</v>
      </c>
      <c r="E34" s="24" t="s">
        <v>6</v>
      </c>
      <c r="F34" s="17" t="s">
        <v>13</v>
      </c>
      <c r="G34" s="40">
        <v>22</v>
      </c>
      <c r="H34" s="21">
        <v>1.5</v>
      </c>
      <c r="I34" s="20">
        <v>7.3400000000000007</v>
      </c>
      <c r="J34" s="21">
        <v>2.92096</v>
      </c>
      <c r="K34" s="21">
        <v>8.85</v>
      </c>
      <c r="L34" s="21">
        <v>1.96</v>
      </c>
      <c r="M34" s="21">
        <v>0.23391575999999997</v>
      </c>
      <c r="N34" s="21">
        <v>1.1950696199999997</v>
      </c>
      <c r="O34" s="21">
        <v>2.7865897500000001</v>
      </c>
      <c r="P34" s="21">
        <v>2.9989013500000006</v>
      </c>
      <c r="Q34" s="21">
        <v>5.2281731499999999</v>
      </c>
      <c r="R34" s="21">
        <v>1.7276856450000002</v>
      </c>
      <c r="S34" s="21">
        <v>2.3062347550000006</v>
      </c>
    </row>
    <row r="35" spans="1:19" ht="16" customHeight="1" x14ac:dyDescent="0.15">
      <c r="A35" s="16">
        <v>32</v>
      </c>
      <c r="B35" s="17"/>
      <c r="C35" s="24" t="s">
        <v>3</v>
      </c>
      <c r="D35" s="16">
        <v>28</v>
      </c>
      <c r="E35" s="24" t="s">
        <v>6</v>
      </c>
      <c r="F35" s="17" t="s">
        <v>13</v>
      </c>
      <c r="G35" s="40">
        <v>18.5</v>
      </c>
      <c r="H35" s="21">
        <v>2.54</v>
      </c>
      <c r="I35" s="20">
        <v>8.7099999999999991</v>
      </c>
      <c r="J35" s="21">
        <v>2.2277200000000001</v>
      </c>
      <c r="K35" s="18">
        <v>8.98</v>
      </c>
      <c r="L35" s="18">
        <v>9.07</v>
      </c>
      <c r="M35" s="21">
        <v>0.32769900000000002</v>
      </c>
      <c r="N35" s="21">
        <v>1.12994325</v>
      </c>
      <c r="O35" s="21">
        <v>1.0099415249999997</v>
      </c>
      <c r="P35" s="21">
        <v>0.80795321999999992</v>
      </c>
      <c r="Q35" s="21">
        <v>2.4687459499999997</v>
      </c>
      <c r="R35" s="21">
        <v>2.0990941499999995</v>
      </c>
      <c r="S35" s="21">
        <v>1.0244635599999998</v>
      </c>
    </row>
    <row r="36" spans="1:19" ht="16" customHeight="1" x14ac:dyDescent="0.15">
      <c r="A36" s="16">
        <v>33</v>
      </c>
      <c r="B36" s="17"/>
      <c r="C36" s="24" t="s">
        <v>2</v>
      </c>
      <c r="D36" s="17">
        <v>25</v>
      </c>
      <c r="E36" s="24" t="s">
        <v>10</v>
      </c>
      <c r="F36" s="17" t="s">
        <v>13</v>
      </c>
      <c r="G36" s="39">
        <v>17.100000000000001</v>
      </c>
      <c r="H36" s="18">
        <v>0.75</v>
      </c>
      <c r="I36" s="26">
        <v>6.65</v>
      </c>
      <c r="J36" s="18">
        <v>5.7405000000000008</v>
      </c>
      <c r="K36" s="18">
        <v>6.92</v>
      </c>
      <c r="L36" s="18">
        <v>8.8800000000000008</v>
      </c>
      <c r="M36" s="18">
        <v>0.36751932000000004</v>
      </c>
      <c r="N36" s="18">
        <v>0.94344039999999996</v>
      </c>
      <c r="O36" s="18">
        <v>0.87637386999999978</v>
      </c>
      <c r="P36" s="18">
        <v>0.82037969999999982</v>
      </c>
      <c r="Q36" s="18">
        <v>3.2164092999999996</v>
      </c>
      <c r="R36" s="18">
        <v>2.0053725999999998</v>
      </c>
      <c r="S36" s="18">
        <v>3.3336063999999994</v>
      </c>
    </row>
    <row r="37" spans="1:19" ht="16" customHeight="1" x14ac:dyDescent="0.15">
      <c r="A37" s="16">
        <v>34</v>
      </c>
      <c r="B37" s="16"/>
      <c r="C37" s="19" t="s">
        <v>3</v>
      </c>
      <c r="D37" s="16">
        <v>26</v>
      </c>
      <c r="E37" s="24" t="s">
        <v>9</v>
      </c>
      <c r="F37" s="17" t="s">
        <v>13</v>
      </c>
      <c r="G37" s="40">
        <v>10.100000000000001</v>
      </c>
      <c r="H37" s="21">
        <v>2.4699999999999998</v>
      </c>
      <c r="I37" s="20">
        <v>11.700000000000001</v>
      </c>
      <c r="J37" s="21">
        <v>3.8189999999999995</v>
      </c>
      <c r="K37" s="21">
        <v>6.5299999999999994</v>
      </c>
      <c r="L37" s="21">
        <v>3.95</v>
      </c>
      <c r="M37" s="21">
        <v>0.20975724000000001</v>
      </c>
      <c r="N37" s="21">
        <v>1.3125718199999998</v>
      </c>
      <c r="O37" s="21">
        <v>2.9832074999999998</v>
      </c>
      <c r="P37" s="21">
        <v>4.0795999999999992</v>
      </c>
      <c r="Q37" s="21">
        <v>5.6859425000000003</v>
      </c>
      <c r="R37" s="21">
        <v>1.5171012499999996</v>
      </c>
      <c r="S37" s="21">
        <v>4.2580824999999995</v>
      </c>
    </row>
    <row r="38" spans="1:19" ht="16" customHeight="1" x14ac:dyDescent="0.15">
      <c r="A38" s="16">
        <v>35</v>
      </c>
      <c r="B38" s="16"/>
      <c r="C38" s="19" t="s">
        <v>3</v>
      </c>
      <c r="D38" s="16">
        <v>25</v>
      </c>
      <c r="E38" s="24" t="s">
        <v>6</v>
      </c>
      <c r="F38" s="17" t="s">
        <v>13</v>
      </c>
      <c r="G38" s="40">
        <v>23</v>
      </c>
      <c r="H38" s="21">
        <v>2.85</v>
      </c>
      <c r="I38" s="20">
        <v>5.19</v>
      </c>
      <c r="J38" s="21">
        <v>6.0332999999999997</v>
      </c>
      <c r="K38" s="21">
        <v>13</v>
      </c>
      <c r="L38" s="21">
        <v>13.8</v>
      </c>
      <c r="M38" s="21">
        <v>0.62656250000000002</v>
      </c>
      <c r="N38" s="21">
        <v>0.81093749999999998</v>
      </c>
      <c r="O38" s="21">
        <v>1.2182499999999998</v>
      </c>
      <c r="P38" s="21">
        <v>1.3289999999999997</v>
      </c>
      <c r="Q38" s="21">
        <v>2.4586499999999996</v>
      </c>
      <c r="R38" s="21">
        <v>1.4619</v>
      </c>
      <c r="S38" s="21">
        <v>1.7276999999999998</v>
      </c>
    </row>
    <row r="39" spans="1:19" ht="16" customHeight="1" x14ac:dyDescent="0.15">
      <c r="A39" s="16">
        <v>36</v>
      </c>
      <c r="B39" s="16"/>
      <c r="C39" s="19" t="s">
        <v>2</v>
      </c>
      <c r="D39" s="16">
        <v>25</v>
      </c>
      <c r="E39" s="24" t="s">
        <v>6</v>
      </c>
      <c r="F39" s="17" t="s">
        <v>13</v>
      </c>
      <c r="G39" s="40">
        <v>40.1</v>
      </c>
      <c r="H39" s="21">
        <v>0.74</v>
      </c>
      <c r="I39" s="20">
        <v>3.2199999999999998</v>
      </c>
      <c r="J39" s="21">
        <v>5.4390000000000001</v>
      </c>
      <c r="K39" s="21">
        <v>21.3</v>
      </c>
      <c r="L39" s="21">
        <v>4.6500000000000004</v>
      </c>
      <c r="M39" s="21">
        <v>0.20671200000000003</v>
      </c>
      <c r="N39" s="21">
        <v>0.45936000000000005</v>
      </c>
      <c r="O39" s="21">
        <v>0.34103300000000003</v>
      </c>
      <c r="P39" s="21">
        <v>0.20280700000000002</v>
      </c>
      <c r="Q39" s="21">
        <v>1.3652650000000002</v>
      </c>
      <c r="R39" s="21">
        <v>1.4332450000000001</v>
      </c>
      <c r="S39" s="21">
        <v>1.0706850000000001</v>
      </c>
    </row>
    <row r="40" spans="1:19" ht="16" customHeight="1" x14ac:dyDescent="0.15">
      <c r="A40" s="16">
        <v>37</v>
      </c>
      <c r="B40" s="16"/>
      <c r="C40" s="19" t="s">
        <v>3</v>
      </c>
      <c r="D40" s="16">
        <v>54</v>
      </c>
      <c r="E40" s="24" t="s">
        <v>9</v>
      </c>
      <c r="F40" s="17" t="s">
        <v>13</v>
      </c>
      <c r="G40" s="40">
        <v>14.6</v>
      </c>
      <c r="H40" s="21">
        <v>3.6700000000000004</v>
      </c>
      <c r="I40" s="20">
        <v>7.0000000000000009</v>
      </c>
      <c r="J40" s="21">
        <v>8.1650000000000009</v>
      </c>
      <c r="K40" s="21">
        <v>7.2499999999999991</v>
      </c>
      <c r="L40" s="21">
        <v>3.08</v>
      </c>
      <c r="M40" s="21">
        <v>0.41063959999999994</v>
      </c>
      <c r="N40" s="21">
        <v>1.1849885599999999</v>
      </c>
      <c r="O40" s="21">
        <v>1.3501963200000002</v>
      </c>
      <c r="P40" s="21">
        <v>2.0710976000000003</v>
      </c>
      <c r="Q40" s="21">
        <v>4.7794560000000006</v>
      </c>
      <c r="R40" s="21">
        <v>4.0227088000000011</v>
      </c>
      <c r="S40" s="21">
        <v>4.7197128000000008</v>
      </c>
    </row>
    <row r="41" spans="1:19" ht="16" customHeight="1" x14ac:dyDescent="0.15">
      <c r="A41" s="16">
        <v>38</v>
      </c>
      <c r="B41" s="16"/>
      <c r="C41" s="19" t="s">
        <v>2</v>
      </c>
      <c r="D41" s="16">
        <v>22</v>
      </c>
      <c r="E41" s="24" t="s">
        <v>6</v>
      </c>
      <c r="F41" s="17" t="s">
        <v>13</v>
      </c>
      <c r="G41" s="40">
        <v>22.1</v>
      </c>
      <c r="H41" s="21">
        <v>1.0999999999999999</v>
      </c>
      <c r="I41" s="20">
        <v>4.63</v>
      </c>
      <c r="J41" s="21">
        <v>9.5523999999999987</v>
      </c>
      <c r="K41" s="21">
        <v>11</v>
      </c>
      <c r="L41" s="21">
        <v>7.64</v>
      </c>
      <c r="M41" s="21">
        <v>0.32961647999999999</v>
      </c>
      <c r="N41" s="21">
        <v>0.66563327999999988</v>
      </c>
      <c r="O41" s="21">
        <v>1.4016983999999999</v>
      </c>
      <c r="P41" s="21">
        <v>1.2025096799999999</v>
      </c>
      <c r="Q41" s="21">
        <v>3.2337427999999999</v>
      </c>
      <c r="R41" s="21">
        <v>0.83487124000000001</v>
      </c>
      <c r="S41" s="21">
        <v>2.7542144</v>
      </c>
    </row>
    <row r="42" spans="1:19" ht="16" customHeight="1" x14ac:dyDescent="0.15">
      <c r="A42" s="16">
        <v>39</v>
      </c>
      <c r="B42" s="17">
        <v>129</v>
      </c>
      <c r="C42" s="24" t="s">
        <v>3</v>
      </c>
      <c r="D42" s="16">
        <v>30</v>
      </c>
      <c r="E42" s="24" t="s">
        <v>6</v>
      </c>
      <c r="F42" s="17" t="s">
        <v>13</v>
      </c>
      <c r="G42" s="40">
        <v>16.8</v>
      </c>
      <c r="H42" s="21">
        <v>1.91</v>
      </c>
      <c r="I42" s="20">
        <v>9.6</v>
      </c>
      <c r="J42" s="21">
        <v>4.0927599999999993</v>
      </c>
      <c r="K42" s="18">
        <v>14.000000000000002</v>
      </c>
      <c r="L42" s="18">
        <v>6.54</v>
      </c>
      <c r="M42" s="21">
        <v>0.70066079999999997</v>
      </c>
      <c r="N42" s="21">
        <v>1.291248</v>
      </c>
      <c r="O42" s="21">
        <v>1.7632943999999999</v>
      </c>
      <c r="P42" s="21">
        <v>3.0481919999999993</v>
      </c>
      <c r="Q42" s="21">
        <v>3.8525759999999996</v>
      </c>
      <c r="R42" s="21">
        <v>2.4343199999999996</v>
      </c>
      <c r="S42" s="21">
        <v>2.0427119999999999</v>
      </c>
    </row>
    <row r="43" spans="1:19" ht="16" customHeight="1" x14ac:dyDescent="0.15">
      <c r="A43" s="16">
        <v>40</v>
      </c>
      <c r="B43" s="16"/>
      <c r="C43" s="19" t="s">
        <v>3</v>
      </c>
      <c r="D43" s="16">
        <v>24</v>
      </c>
      <c r="E43" s="24" t="s">
        <v>7</v>
      </c>
      <c r="F43" s="17" t="s">
        <v>13</v>
      </c>
      <c r="G43" s="40">
        <v>16.3</v>
      </c>
      <c r="H43" s="21">
        <v>1.52</v>
      </c>
      <c r="I43" s="20">
        <v>4.55</v>
      </c>
      <c r="J43" s="21">
        <v>8.9646000000000008</v>
      </c>
      <c r="K43" s="21">
        <v>7.53</v>
      </c>
      <c r="L43" s="21">
        <v>8.5599999999999987</v>
      </c>
      <c r="M43" s="21">
        <v>0.41589990000000004</v>
      </c>
      <c r="N43" s="21">
        <v>1.0992805200000002</v>
      </c>
      <c r="O43" s="21">
        <v>1.1285873300000002</v>
      </c>
      <c r="P43" s="21">
        <v>1.1326084250000001</v>
      </c>
      <c r="Q43" s="21">
        <v>3.5653709000000005</v>
      </c>
      <c r="R43" s="21">
        <v>1.5280161000000001</v>
      </c>
      <c r="S43" s="21">
        <v>3.6591964500000005</v>
      </c>
    </row>
    <row r="44" spans="1:19" ht="16" customHeight="1" x14ac:dyDescent="0.15">
      <c r="A44" s="16">
        <v>41</v>
      </c>
      <c r="B44" s="16"/>
      <c r="C44" s="19" t="s">
        <v>3</v>
      </c>
      <c r="D44" s="16">
        <v>27</v>
      </c>
      <c r="E44" s="24" t="s">
        <v>7</v>
      </c>
      <c r="F44" s="17" t="s">
        <v>12</v>
      </c>
      <c r="G44" s="40">
        <v>26</v>
      </c>
      <c r="H44" s="21">
        <v>1.49</v>
      </c>
      <c r="I44" s="20">
        <v>9.35</v>
      </c>
      <c r="J44" s="21">
        <v>2.9360100000000005</v>
      </c>
      <c r="K44" s="21">
        <v>9.1300000000000008</v>
      </c>
      <c r="L44" s="21">
        <v>4.24</v>
      </c>
      <c r="M44" s="21">
        <v>0.48633014999999996</v>
      </c>
      <c r="N44" s="21">
        <v>1.0256269499999999</v>
      </c>
      <c r="O44" s="21">
        <v>0.75958697499999983</v>
      </c>
      <c r="P44" s="21">
        <v>1.2472060999999999</v>
      </c>
      <c r="Q44" s="21">
        <v>4.7800409999999989</v>
      </c>
      <c r="R44" s="21">
        <v>0.71013827499999982</v>
      </c>
      <c r="S44" s="21">
        <v>2.2251914999999993</v>
      </c>
    </row>
    <row r="45" spans="1:19" ht="16" customHeight="1" x14ac:dyDescent="0.15">
      <c r="A45" s="16">
        <v>42</v>
      </c>
      <c r="B45" s="16"/>
      <c r="C45" s="19" t="s">
        <v>2</v>
      </c>
      <c r="D45" s="16">
        <v>23</v>
      </c>
      <c r="E45" s="24" t="s">
        <v>10</v>
      </c>
      <c r="F45" s="17" t="s">
        <v>13</v>
      </c>
      <c r="G45" s="40">
        <v>15</v>
      </c>
      <c r="H45" s="21">
        <v>1.6</v>
      </c>
      <c r="I45" s="20">
        <v>3.94</v>
      </c>
      <c r="J45" s="21">
        <v>5.8928000000000003</v>
      </c>
      <c r="K45" s="21">
        <v>15.1</v>
      </c>
      <c r="L45" s="21">
        <v>5.2200000000000006</v>
      </c>
      <c r="M45" s="21">
        <v>0.63125567999999999</v>
      </c>
      <c r="N45" s="21">
        <v>1.3730342400000002</v>
      </c>
      <c r="O45" s="21">
        <v>1.0973345399999999</v>
      </c>
      <c r="P45" s="21">
        <v>1.4864958000000001</v>
      </c>
      <c r="Q45" s="21">
        <v>3.3070355999999999</v>
      </c>
      <c r="R45" s="21">
        <v>1.64182626</v>
      </c>
      <c r="S45" s="21">
        <v>4.5262962</v>
      </c>
    </row>
    <row r="46" spans="1:19" ht="16" customHeight="1" x14ac:dyDescent="0.15">
      <c r="A46" s="16">
        <v>43</v>
      </c>
      <c r="B46" s="17">
        <v>129</v>
      </c>
      <c r="C46" s="24" t="s">
        <v>2</v>
      </c>
      <c r="D46" s="17">
        <v>34</v>
      </c>
      <c r="E46" s="24" t="s">
        <v>7</v>
      </c>
      <c r="F46" s="17" t="s">
        <v>12</v>
      </c>
      <c r="G46" s="39">
        <v>16</v>
      </c>
      <c r="H46" s="18">
        <v>0.69</v>
      </c>
      <c r="I46" s="26">
        <v>1.7999999999999998</v>
      </c>
      <c r="J46" s="18">
        <v>7.3072999999999997</v>
      </c>
      <c r="K46" s="18">
        <v>6.99</v>
      </c>
      <c r="L46" s="18">
        <v>4.1500000000000004</v>
      </c>
      <c r="M46" s="18">
        <v>0.11218163999999999</v>
      </c>
      <c r="N46" s="18">
        <v>0.9337471799999999</v>
      </c>
      <c r="O46" s="18">
        <v>1.7928335999999996</v>
      </c>
      <c r="P46" s="18">
        <v>3.919626399999999</v>
      </c>
      <c r="Q46" s="18">
        <v>3.0583631999999987</v>
      </c>
      <c r="R46" s="18">
        <v>1.3165023199999997</v>
      </c>
      <c r="S46" s="18">
        <v>2.9880559999999994</v>
      </c>
    </row>
    <row r="47" spans="1:19" ht="16" customHeight="1" x14ac:dyDescent="0.15">
      <c r="A47" s="16">
        <v>44</v>
      </c>
      <c r="B47" s="17">
        <v>154</v>
      </c>
      <c r="C47" s="24" t="s">
        <v>2</v>
      </c>
      <c r="D47" s="16">
        <v>28</v>
      </c>
      <c r="E47" s="25" t="s">
        <v>6</v>
      </c>
      <c r="F47" s="22" t="s">
        <v>13</v>
      </c>
      <c r="G47" s="40">
        <v>11.5</v>
      </c>
      <c r="H47" s="21">
        <v>2.4299999999999997</v>
      </c>
      <c r="I47" s="20">
        <v>11.5</v>
      </c>
      <c r="J47" s="21">
        <v>7.281509999999999</v>
      </c>
      <c r="K47" s="18">
        <v>6.6000000000000005</v>
      </c>
      <c r="L47" s="18">
        <v>11</v>
      </c>
      <c r="M47" s="21">
        <v>0.29727899999999996</v>
      </c>
      <c r="N47" s="21">
        <v>1.1284769999999997</v>
      </c>
      <c r="O47" s="21">
        <v>2.7143999999999999</v>
      </c>
      <c r="P47" s="21">
        <v>3.9584999999999999</v>
      </c>
      <c r="Q47" s="21">
        <v>4.8859199999999996</v>
      </c>
      <c r="R47" s="21">
        <v>1.7032860000000001</v>
      </c>
      <c r="S47" s="21">
        <v>3.8906399999999999</v>
      </c>
    </row>
    <row r="48" spans="1:19" ht="16" customHeight="1" x14ac:dyDescent="0.15">
      <c r="A48" s="16">
        <v>45</v>
      </c>
      <c r="B48" s="16"/>
      <c r="C48" s="19" t="s">
        <v>3</v>
      </c>
      <c r="D48" s="16">
        <v>21</v>
      </c>
      <c r="E48" s="24" t="s">
        <v>8</v>
      </c>
      <c r="F48" s="17" t="s">
        <v>13</v>
      </c>
      <c r="G48" s="40">
        <v>11.4</v>
      </c>
      <c r="H48" s="21">
        <v>0.38</v>
      </c>
      <c r="I48" s="20">
        <v>13.900000000000002</v>
      </c>
      <c r="J48" s="21">
        <v>1.6607999999999998</v>
      </c>
      <c r="K48" s="21">
        <v>8.59</v>
      </c>
      <c r="L48" s="21">
        <v>3.1399999999999997</v>
      </c>
      <c r="M48" s="21">
        <v>0.51763680000000001</v>
      </c>
      <c r="N48" s="21">
        <v>1.53565584</v>
      </c>
      <c r="O48" s="21">
        <v>1.5485643150000001</v>
      </c>
      <c r="P48" s="21">
        <v>3.5014644000000001</v>
      </c>
      <c r="Q48" s="21">
        <v>4.1058838499999997</v>
      </c>
      <c r="R48" s="21">
        <v>1.6631955899999999</v>
      </c>
      <c r="S48" s="21">
        <v>2.2300993499999997</v>
      </c>
    </row>
    <row r="49" spans="1:19" ht="16" customHeight="1" x14ac:dyDescent="0.15">
      <c r="A49" s="16">
        <v>46</v>
      </c>
      <c r="B49" s="16"/>
      <c r="C49" s="19" t="s">
        <v>3</v>
      </c>
      <c r="D49" s="16">
        <v>24</v>
      </c>
      <c r="E49" s="24" t="s">
        <v>7</v>
      </c>
      <c r="F49" s="17" t="s">
        <v>12</v>
      </c>
      <c r="G49" s="40">
        <v>17.599999999999998</v>
      </c>
      <c r="H49" s="21">
        <v>2.2399999999999998</v>
      </c>
      <c r="I49" s="20">
        <v>4.41</v>
      </c>
      <c r="J49" s="21">
        <v>4.2311399999999999</v>
      </c>
      <c r="K49" s="21">
        <v>9.99</v>
      </c>
      <c r="L49" s="21">
        <v>10.8</v>
      </c>
      <c r="M49" s="21">
        <v>0.48538380000000003</v>
      </c>
      <c r="N49" s="21">
        <v>1.3652628</v>
      </c>
      <c r="O49" s="21">
        <v>1.1022461999999997</v>
      </c>
      <c r="P49" s="21">
        <v>1.0041899999999997</v>
      </c>
      <c r="Q49" s="21">
        <v>3.0480119999999995</v>
      </c>
      <c r="R49" s="21">
        <v>1.0963391999999998</v>
      </c>
      <c r="S49" s="21">
        <v>2.9653139999999998</v>
      </c>
    </row>
    <row r="50" spans="1:19" ht="16" customHeight="1" x14ac:dyDescent="0.15">
      <c r="A50" s="16">
        <v>47</v>
      </c>
      <c r="B50" s="17">
        <v>120</v>
      </c>
      <c r="C50" s="24" t="s">
        <v>3</v>
      </c>
      <c r="D50" s="17">
        <v>20</v>
      </c>
      <c r="E50" s="24" t="s">
        <v>6</v>
      </c>
      <c r="F50" s="17" t="s">
        <v>13</v>
      </c>
      <c r="G50" s="39">
        <v>14.399999999999999</v>
      </c>
      <c r="H50" s="18">
        <v>1.17</v>
      </c>
      <c r="I50" s="26">
        <v>3.66</v>
      </c>
      <c r="J50" s="18">
        <v>7.0513000000000003</v>
      </c>
      <c r="K50" s="18">
        <v>17.399999999999999</v>
      </c>
      <c r="L50" s="18">
        <v>4.21</v>
      </c>
      <c r="M50" s="18">
        <v>0.59081545999999996</v>
      </c>
      <c r="N50" s="18">
        <v>1.4869221799999999</v>
      </c>
      <c r="O50" s="18">
        <v>2.2816074</v>
      </c>
      <c r="P50" s="18">
        <v>2.4817483999999999</v>
      </c>
      <c r="Q50" s="18">
        <v>1.91134655</v>
      </c>
      <c r="R50" s="18">
        <v>1.9253564199999997</v>
      </c>
      <c r="S50" s="18">
        <v>1.6451590199999995</v>
      </c>
    </row>
    <row r="51" spans="1:19" ht="16" customHeight="1" x14ac:dyDescent="0.15">
      <c r="A51" s="16">
        <v>48</v>
      </c>
      <c r="B51" s="16"/>
      <c r="C51" s="19" t="s">
        <v>3</v>
      </c>
      <c r="D51" s="16">
        <v>19</v>
      </c>
      <c r="E51" s="24" t="s">
        <v>8</v>
      </c>
      <c r="F51" s="17" t="s">
        <v>13</v>
      </c>
      <c r="G51" s="40">
        <v>20.599999999999998</v>
      </c>
      <c r="H51" s="21">
        <v>1.1199999999999999</v>
      </c>
      <c r="I51" s="20">
        <v>3.92</v>
      </c>
      <c r="J51" s="21">
        <v>4.4156000000000004</v>
      </c>
      <c r="K51" s="21">
        <v>10.5</v>
      </c>
      <c r="L51" s="21">
        <v>5.55</v>
      </c>
      <c r="M51" s="21">
        <v>0.36526080000000005</v>
      </c>
      <c r="N51" s="21">
        <v>1.0378752</v>
      </c>
      <c r="O51" s="21">
        <v>1.5932600000000001</v>
      </c>
      <c r="P51" s="21">
        <v>0.95476700000000003</v>
      </c>
      <c r="Q51" s="21">
        <v>1.8072800000000002</v>
      </c>
      <c r="R51" s="21">
        <v>1.3673500000000003</v>
      </c>
      <c r="S51" s="21">
        <v>2.2709900000000003</v>
      </c>
    </row>
    <row r="52" spans="1:19" ht="16" customHeight="1" x14ac:dyDescent="0.15">
      <c r="A52" s="16">
        <v>49</v>
      </c>
      <c r="B52" s="17"/>
      <c r="C52" s="24" t="s">
        <v>2</v>
      </c>
      <c r="D52" s="17">
        <v>32</v>
      </c>
      <c r="E52" s="24" t="s">
        <v>6</v>
      </c>
      <c r="F52" s="17" t="s">
        <v>13</v>
      </c>
      <c r="G52" s="39">
        <v>10.7</v>
      </c>
      <c r="H52" s="18">
        <v>1.9800000000000002</v>
      </c>
      <c r="I52" s="26">
        <v>7.6899999999999995</v>
      </c>
      <c r="J52" s="18">
        <v>8.2620000000000005</v>
      </c>
      <c r="K52" s="18">
        <v>14.6</v>
      </c>
      <c r="L52" s="18">
        <v>10</v>
      </c>
      <c r="M52" s="18">
        <v>0.66734080000000007</v>
      </c>
      <c r="N52" s="18">
        <v>1.4180992000000001</v>
      </c>
      <c r="O52" s="18">
        <v>1.0734802400000001</v>
      </c>
      <c r="P52" s="18">
        <v>1.8615810499999996</v>
      </c>
      <c r="Q52" s="18">
        <v>3.3451760999999998</v>
      </c>
      <c r="R52" s="18">
        <v>1.1547472299999999</v>
      </c>
      <c r="S52" s="18">
        <v>2.6270027000000002</v>
      </c>
    </row>
    <row r="53" spans="1:19" ht="16" customHeight="1" x14ac:dyDescent="0.15">
      <c r="A53" s="16">
        <v>50</v>
      </c>
      <c r="B53" s="16"/>
      <c r="C53" s="19" t="s">
        <v>2</v>
      </c>
      <c r="D53" s="16">
        <v>23</v>
      </c>
      <c r="E53" s="24" t="s">
        <v>6</v>
      </c>
      <c r="F53" s="17" t="s">
        <v>13</v>
      </c>
      <c r="G53" s="40">
        <v>14.2</v>
      </c>
      <c r="H53" s="21">
        <v>1.55</v>
      </c>
      <c r="I53" s="20">
        <v>5.41</v>
      </c>
      <c r="J53" s="21">
        <v>5.6652999999999993</v>
      </c>
      <c r="K53" s="21">
        <v>20.599999999999998</v>
      </c>
      <c r="L53" s="21">
        <v>5.1499999999999995</v>
      </c>
      <c r="M53" s="21">
        <v>0.61539191999999998</v>
      </c>
      <c r="N53" s="21">
        <v>1.06799121</v>
      </c>
      <c r="O53" s="21">
        <v>2.0763680999999998</v>
      </c>
      <c r="P53" s="21">
        <v>3.4537608000000004</v>
      </c>
      <c r="Q53" s="21">
        <v>2.6108786999999998</v>
      </c>
      <c r="R53" s="21">
        <v>1.8975126299999996</v>
      </c>
      <c r="S53" s="21">
        <v>2.6108786999999998</v>
      </c>
    </row>
    <row r="54" spans="1:19" ht="16" customHeight="1" x14ac:dyDescent="0.15">
      <c r="A54" s="16">
        <v>51</v>
      </c>
      <c r="B54" s="16"/>
      <c r="C54" s="19" t="s">
        <v>2</v>
      </c>
      <c r="D54" s="16">
        <v>23</v>
      </c>
      <c r="E54" s="24" t="s">
        <v>8</v>
      </c>
      <c r="F54" s="17" t="s">
        <v>13</v>
      </c>
      <c r="G54" s="40">
        <v>17.299999999999997</v>
      </c>
      <c r="H54" s="21">
        <v>0.61</v>
      </c>
      <c r="I54" s="20">
        <v>5.04</v>
      </c>
      <c r="J54" s="21">
        <v>3.8505000000000007</v>
      </c>
      <c r="K54" s="21">
        <v>6.03</v>
      </c>
      <c r="L54" s="21">
        <v>8.44</v>
      </c>
      <c r="M54" s="21">
        <v>0.23094499999999998</v>
      </c>
      <c r="N54" s="21">
        <v>1.0514790000000001</v>
      </c>
      <c r="O54" s="21">
        <v>1.4688101999999998</v>
      </c>
      <c r="P54" s="21">
        <v>1.9728137000000001</v>
      </c>
      <c r="Q54" s="21">
        <v>2.8512198</v>
      </c>
      <c r="R54" s="21">
        <v>1.2643287800000003</v>
      </c>
      <c r="S54" s="21">
        <v>3.0528212000000003</v>
      </c>
    </row>
    <row r="55" spans="1:19" ht="16" customHeight="1" x14ac:dyDescent="0.15">
      <c r="A55" s="16">
        <v>52</v>
      </c>
      <c r="B55" s="16"/>
      <c r="C55" s="19" t="s">
        <v>2</v>
      </c>
      <c r="D55" s="16">
        <v>39</v>
      </c>
      <c r="E55" s="24" t="s">
        <v>6</v>
      </c>
      <c r="F55" s="17" t="s">
        <v>13</v>
      </c>
      <c r="G55" s="40">
        <v>18.899999999999999</v>
      </c>
      <c r="H55" s="21">
        <v>1.37</v>
      </c>
      <c r="I55" s="20">
        <v>3.01</v>
      </c>
      <c r="J55" s="21">
        <v>2.03308</v>
      </c>
      <c r="K55" s="21">
        <v>9.01</v>
      </c>
      <c r="L55" s="21">
        <v>7.3599999999999994</v>
      </c>
      <c r="M55" s="21">
        <v>0.28957949999999993</v>
      </c>
      <c r="N55" s="21">
        <v>1.6256393999999998</v>
      </c>
      <c r="O55" s="21">
        <v>2.0012225849999998</v>
      </c>
      <c r="P55" s="21">
        <v>4.0068482999999997</v>
      </c>
      <c r="Q55" s="21">
        <v>4.4471613000000003</v>
      </c>
      <c r="R55" s="21">
        <v>2.4657528000000002</v>
      </c>
      <c r="S55" s="21">
        <v>4.0508796</v>
      </c>
    </row>
    <row r="56" spans="1:19" ht="16" customHeight="1" x14ac:dyDescent="0.15">
      <c r="A56" s="16">
        <v>53</v>
      </c>
      <c r="B56" s="16"/>
      <c r="C56" s="19" t="s">
        <v>3</v>
      </c>
      <c r="D56" s="16">
        <v>23</v>
      </c>
      <c r="E56" s="24" t="s">
        <v>8</v>
      </c>
      <c r="F56" s="17" t="s">
        <v>13</v>
      </c>
      <c r="G56" s="40">
        <v>19.7</v>
      </c>
      <c r="H56" s="21">
        <v>1.35</v>
      </c>
      <c r="I56" s="20">
        <v>7.04</v>
      </c>
      <c r="J56" s="21">
        <v>4.3375499999999994</v>
      </c>
      <c r="K56" s="21">
        <v>8.32</v>
      </c>
      <c r="L56" s="21">
        <v>8.4599999999999991</v>
      </c>
      <c r="M56" s="21">
        <v>0.44001660000000009</v>
      </c>
      <c r="N56" s="21">
        <v>0.87864950000000019</v>
      </c>
      <c r="O56" s="21">
        <v>0.72899578000000032</v>
      </c>
      <c r="P56" s="21">
        <v>2.2126070000000007</v>
      </c>
      <c r="Q56" s="21">
        <v>2.1077993000000004</v>
      </c>
      <c r="R56" s="21">
        <v>1.8166668000000001</v>
      </c>
      <c r="S56" s="21">
        <v>2.6551284000000006</v>
      </c>
    </row>
    <row r="57" spans="1:19" ht="16" customHeight="1" x14ac:dyDescent="0.15">
      <c r="A57" s="16">
        <v>54</v>
      </c>
      <c r="B57" s="16"/>
      <c r="C57" s="19" t="s">
        <v>3</v>
      </c>
      <c r="D57" s="16">
        <v>27</v>
      </c>
      <c r="E57" s="24" t="s">
        <v>6</v>
      </c>
      <c r="F57" s="17" t="s">
        <v>13</v>
      </c>
      <c r="G57" s="40">
        <v>18</v>
      </c>
      <c r="H57" s="21">
        <v>2.67</v>
      </c>
      <c r="I57" s="20">
        <v>9.93</v>
      </c>
      <c r="J57" s="21">
        <v>3.6652199999999997</v>
      </c>
      <c r="K57" s="21">
        <v>9.5200000000000014</v>
      </c>
      <c r="L57" s="21">
        <v>8.06</v>
      </c>
      <c r="M57" s="21">
        <v>0.52660400000000018</v>
      </c>
      <c r="N57" s="21">
        <v>1.4076530000000005</v>
      </c>
      <c r="O57" s="21">
        <v>1.3717984799999998</v>
      </c>
      <c r="P57" s="21">
        <v>2.0194719999999999</v>
      </c>
      <c r="Q57" s="21">
        <v>2.7695615999999998</v>
      </c>
      <c r="R57" s="21">
        <v>1.4136304</v>
      </c>
      <c r="S57" s="21">
        <v>2.2935431999999998</v>
      </c>
    </row>
    <row r="58" spans="1:19" ht="16" customHeight="1" x14ac:dyDescent="0.15">
      <c r="A58" s="16">
        <v>55</v>
      </c>
      <c r="B58" s="16"/>
      <c r="C58" s="19" t="s">
        <v>2</v>
      </c>
      <c r="D58" s="16">
        <v>61</v>
      </c>
      <c r="E58" s="24" t="s">
        <v>6</v>
      </c>
      <c r="F58" s="17" t="s">
        <v>13</v>
      </c>
      <c r="G58" s="40">
        <v>12.9</v>
      </c>
      <c r="H58" s="21">
        <v>1.73</v>
      </c>
      <c r="I58" s="20">
        <v>6.69</v>
      </c>
      <c r="J58" s="21">
        <v>7.8359700000000005</v>
      </c>
      <c r="K58" s="21">
        <v>3.84</v>
      </c>
      <c r="L58" s="21">
        <v>1.43</v>
      </c>
      <c r="M58" s="21">
        <v>0.18314100000000005</v>
      </c>
      <c r="N58" s="21">
        <v>1.4878026000000004</v>
      </c>
      <c r="O58" s="21">
        <v>3.9716459999999998</v>
      </c>
      <c r="P58" s="21">
        <v>3.9446279999999998</v>
      </c>
      <c r="Q58" s="21">
        <v>3.3772499999999996</v>
      </c>
      <c r="R58" s="21">
        <v>2.4235146000000003</v>
      </c>
      <c r="S58" s="21">
        <v>3.4312859999999992</v>
      </c>
    </row>
    <row r="59" spans="1:19" ht="16" customHeight="1" x14ac:dyDescent="0.15">
      <c r="A59" s="16">
        <v>56</v>
      </c>
      <c r="B59" s="17">
        <v>183</v>
      </c>
      <c r="C59" s="24" t="s">
        <v>2</v>
      </c>
      <c r="D59" s="16">
        <v>19</v>
      </c>
      <c r="E59" s="24" t="s">
        <v>7</v>
      </c>
      <c r="F59" s="17" t="s">
        <v>13</v>
      </c>
      <c r="G59" s="40">
        <v>15.6</v>
      </c>
      <c r="H59" s="21">
        <v>0.75</v>
      </c>
      <c r="I59" s="20">
        <v>9.1300000000000008</v>
      </c>
      <c r="J59" s="21">
        <v>3.7525799999999996</v>
      </c>
      <c r="K59" s="18">
        <v>10.199999999999999</v>
      </c>
      <c r="L59" s="18">
        <v>5.74</v>
      </c>
      <c r="M59" s="21">
        <v>0.27917631000000004</v>
      </c>
      <c r="N59" s="21">
        <v>1.2718031900000002</v>
      </c>
      <c r="O59" s="21">
        <v>2.1912520500000006</v>
      </c>
      <c r="P59" s="21">
        <v>2.4630352500000003</v>
      </c>
      <c r="Q59" s="21">
        <v>2.8707100500000009</v>
      </c>
      <c r="R59" s="21">
        <v>1.3487241300000001</v>
      </c>
      <c r="S59" s="21">
        <v>3.3803035500000012</v>
      </c>
    </row>
    <row r="60" spans="1:19" s="23" customFormat="1" ht="16" customHeight="1" x14ac:dyDescent="0.15">
      <c r="A60" s="16">
        <v>57</v>
      </c>
      <c r="B60" s="16"/>
      <c r="C60" s="19" t="s">
        <v>3</v>
      </c>
      <c r="D60" s="16">
        <v>38</v>
      </c>
      <c r="E60" s="24" t="s">
        <v>7</v>
      </c>
      <c r="F60" s="17" t="s">
        <v>12</v>
      </c>
      <c r="G60" s="40">
        <v>16.2</v>
      </c>
      <c r="H60" s="21">
        <v>1.63</v>
      </c>
      <c r="I60" s="20">
        <v>23.1</v>
      </c>
      <c r="J60" s="21">
        <v>2.9259599999999999</v>
      </c>
      <c r="K60" s="21">
        <v>8.18</v>
      </c>
      <c r="L60" s="21">
        <v>2.2999999999999998</v>
      </c>
      <c r="M60" s="21">
        <v>0.19675239999999999</v>
      </c>
      <c r="N60" s="21">
        <v>0.99504080000000006</v>
      </c>
      <c r="O60" s="21">
        <v>1.3007280000000001</v>
      </c>
      <c r="P60" s="21">
        <v>3.0373200000000002</v>
      </c>
      <c r="Q60" s="21">
        <v>3.466320000000001</v>
      </c>
      <c r="R60" s="21">
        <v>2.2822800000000001</v>
      </c>
      <c r="S60" s="21">
        <v>3.3290400000000004</v>
      </c>
    </row>
    <row r="61" spans="1:19" ht="16" customHeight="1" x14ac:dyDescent="0.15">
      <c r="A61" s="16">
        <v>58</v>
      </c>
      <c r="B61" s="17"/>
      <c r="C61" s="24" t="s">
        <v>3</v>
      </c>
      <c r="D61" s="16">
        <v>30</v>
      </c>
      <c r="E61" s="24" t="s">
        <v>6</v>
      </c>
      <c r="F61" s="17" t="s">
        <v>13</v>
      </c>
      <c r="G61" s="40">
        <v>30.2</v>
      </c>
      <c r="H61" s="21">
        <v>1.4000000000000001</v>
      </c>
      <c r="I61" s="20">
        <v>9.02</v>
      </c>
      <c r="J61" s="21">
        <v>1.59344</v>
      </c>
      <c r="K61" s="18">
        <v>7.9799999999999995</v>
      </c>
      <c r="L61" s="18">
        <v>4.1300000000000008</v>
      </c>
      <c r="M61" s="21">
        <v>0.39373056000000006</v>
      </c>
      <c r="N61" s="21">
        <v>1.5585168000000003</v>
      </c>
      <c r="O61" s="21">
        <v>1.8319831200000001</v>
      </c>
      <c r="P61" s="21">
        <v>2.6385047999999993</v>
      </c>
      <c r="Q61" s="21">
        <v>4.8840408000000002</v>
      </c>
      <c r="R61" s="21">
        <v>2.4888024000000004</v>
      </c>
      <c r="S61" s="21">
        <v>2.6197920000000003</v>
      </c>
    </row>
    <row r="62" spans="1:19" ht="16" customHeight="1" x14ac:dyDescent="0.15">
      <c r="A62" s="16">
        <v>59</v>
      </c>
      <c r="B62" s="16"/>
      <c r="C62" s="19" t="s">
        <v>3</v>
      </c>
      <c r="D62" s="16">
        <v>28</v>
      </c>
      <c r="E62" s="24" t="s">
        <v>6</v>
      </c>
      <c r="F62" s="17" t="s">
        <v>13</v>
      </c>
      <c r="G62" s="40">
        <v>12.5</v>
      </c>
      <c r="H62" s="21">
        <v>1.0699999999999998</v>
      </c>
      <c r="I62" s="20">
        <v>2.78</v>
      </c>
      <c r="J62" s="21">
        <v>7.4835999999999991</v>
      </c>
      <c r="K62" s="21">
        <v>17.299999999999997</v>
      </c>
      <c r="L62" s="21">
        <v>8.5400000000000009</v>
      </c>
      <c r="M62" s="21">
        <v>1.0670021999999999</v>
      </c>
      <c r="N62" s="21">
        <v>1.7402655599999999</v>
      </c>
      <c r="O62" s="21">
        <v>1.0090080000000001</v>
      </c>
      <c r="P62" s="21">
        <v>3.2820480000000001</v>
      </c>
      <c r="Q62" s="21">
        <v>3.991680000000001</v>
      </c>
      <c r="R62" s="21">
        <v>2.7720000000000007</v>
      </c>
      <c r="S62" s="21">
        <v>3.5703360000000011</v>
      </c>
    </row>
    <row r="63" spans="1:19" ht="16" customHeight="1" x14ac:dyDescent="0.15">
      <c r="A63" s="16">
        <v>60</v>
      </c>
      <c r="B63" s="17"/>
      <c r="C63" s="24" t="s">
        <v>2</v>
      </c>
      <c r="D63" s="17">
        <v>40</v>
      </c>
      <c r="E63" s="24" t="s">
        <v>7</v>
      </c>
      <c r="F63" s="17" t="s">
        <v>12</v>
      </c>
      <c r="G63" s="39">
        <v>15</v>
      </c>
      <c r="H63" s="18">
        <v>1.79</v>
      </c>
      <c r="I63" s="26">
        <v>5.9799999999999995</v>
      </c>
      <c r="J63" s="18">
        <v>8.0123999999999995</v>
      </c>
      <c r="K63" s="18">
        <v>4.9000000000000004</v>
      </c>
      <c r="L63" s="18">
        <v>4.1399999999999997</v>
      </c>
      <c r="M63" s="18">
        <v>0.27519492000000001</v>
      </c>
      <c r="N63" s="18">
        <v>1.4094919300000002</v>
      </c>
      <c r="O63" s="18">
        <v>2.2891440000000003</v>
      </c>
      <c r="P63" s="18">
        <v>4.3639200000000002</v>
      </c>
      <c r="Q63" s="18">
        <v>5.6654400000000003</v>
      </c>
      <c r="R63" s="18">
        <v>2.3478399999999997</v>
      </c>
      <c r="S63" s="18">
        <v>5.742</v>
      </c>
    </row>
    <row r="64" spans="1:19" s="23" customFormat="1" ht="16" customHeight="1" x14ac:dyDescent="0.15">
      <c r="A64" s="16">
        <v>61</v>
      </c>
      <c r="B64" s="17"/>
      <c r="C64" s="24" t="s">
        <v>3</v>
      </c>
      <c r="D64" s="17">
        <v>22</v>
      </c>
      <c r="E64" s="24" t="s">
        <v>8</v>
      </c>
      <c r="F64" s="17" t="s">
        <v>13</v>
      </c>
      <c r="G64" s="39">
        <v>19.7</v>
      </c>
      <c r="H64" s="18">
        <v>1.8900000000000001</v>
      </c>
      <c r="I64" s="26">
        <v>9.35</v>
      </c>
      <c r="J64" s="18">
        <v>5.7149699999999992</v>
      </c>
      <c r="K64" s="18">
        <v>12.6</v>
      </c>
      <c r="L64" s="18">
        <v>7.0000000000000009</v>
      </c>
      <c r="M64" s="18">
        <v>0.6378663</v>
      </c>
      <c r="N64" s="18">
        <v>0.89527935000000014</v>
      </c>
      <c r="O64" s="18">
        <v>0.85120649999999998</v>
      </c>
      <c r="P64" s="18">
        <v>0.86317125000000028</v>
      </c>
      <c r="Q64" s="18">
        <v>2.0254612499999998</v>
      </c>
      <c r="R64" s="18">
        <v>1.1366512500000001</v>
      </c>
      <c r="S64" s="18">
        <v>1.6921575000000002</v>
      </c>
    </row>
    <row r="65" spans="1:19" s="23" customFormat="1" ht="16" customHeight="1" x14ac:dyDescent="0.15">
      <c r="A65" s="16">
        <v>62</v>
      </c>
      <c r="B65" s="16"/>
      <c r="C65" s="19" t="s">
        <v>2</v>
      </c>
      <c r="D65" s="16">
        <v>28</v>
      </c>
      <c r="E65" s="24" t="s">
        <v>6</v>
      </c>
      <c r="F65" s="17" t="s">
        <v>13</v>
      </c>
      <c r="G65" s="40">
        <v>17.599999999999998</v>
      </c>
      <c r="H65" s="21">
        <v>1.1199999999999999</v>
      </c>
      <c r="I65" s="20">
        <v>3.18</v>
      </c>
      <c r="J65" s="21">
        <v>10.048499999999999</v>
      </c>
      <c r="K65" s="21">
        <v>16.600000000000001</v>
      </c>
      <c r="L65" s="21">
        <v>5.04</v>
      </c>
      <c r="M65" s="21">
        <v>0.46027407999999992</v>
      </c>
      <c r="N65" s="21">
        <v>1.2368755199999997</v>
      </c>
      <c r="O65" s="21">
        <v>1.6950277799999998</v>
      </c>
      <c r="P65" s="21">
        <v>2.7636322499999997</v>
      </c>
      <c r="Q65" s="21">
        <v>4.9335953499999983</v>
      </c>
      <c r="R65" s="21">
        <v>1.8690342549999999</v>
      </c>
      <c r="S65" s="21">
        <v>3.3777727499999997</v>
      </c>
    </row>
    <row r="66" spans="1:19" s="23" customFormat="1" ht="16" customHeight="1" x14ac:dyDescent="0.15">
      <c r="A66" s="16">
        <v>63</v>
      </c>
      <c r="B66" s="17">
        <v>126</v>
      </c>
      <c r="C66" s="24" t="s">
        <v>3</v>
      </c>
      <c r="D66" s="17">
        <v>24</v>
      </c>
      <c r="E66" s="24" t="s">
        <v>6</v>
      </c>
      <c r="F66" s="17" t="s">
        <v>13</v>
      </c>
      <c r="G66" s="39">
        <v>13</v>
      </c>
      <c r="H66" s="18">
        <v>1.6099999999999999</v>
      </c>
      <c r="I66" s="26">
        <v>11.200000000000001</v>
      </c>
      <c r="J66" s="18">
        <v>1.7190000000000001</v>
      </c>
      <c r="K66" s="18">
        <v>13.700000000000001</v>
      </c>
      <c r="L66" s="18">
        <v>6.0600000000000005</v>
      </c>
      <c r="M66" s="18">
        <v>0.67647450000000009</v>
      </c>
      <c r="N66" s="18">
        <v>1.2012909999999999</v>
      </c>
      <c r="O66" s="18">
        <v>1.6294178500000001</v>
      </c>
      <c r="P66" s="18">
        <v>2.6941859499999996</v>
      </c>
      <c r="Q66" s="18">
        <v>2.72645165</v>
      </c>
      <c r="R66" s="18">
        <v>1.3083741350000002</v>
      </c>
      <c r="S66" s="18">
        <v>1.7100820999999999</v>
      </c>
    </row>
    <row r="67" spans="1:19" s="23" customFormat="1" ht="16" customHeight="1" x14ac:dyDescent="0.15">
      <c r="A67" s="16">
        <v>64</v>
      </c>
      <c r="B67" s="17"/>
      <c r="C67" s="24" t="s">
        <v>3</v>
      </c>
      <c r="D67" s="16">
        <v>34</v>
      </c>
      <c r="E67" s="24" t="s">
        <v>6</v>
      </c>
      <c r="F67" s="17" t="s">
        <v>13</v>
      </c>
      <c r="G67" s="40">
        <v>16.400000000000002</v>
      </c>
      <c r="H67" s="21">
        <v>1.22</v>
      </c>
      <c r="I67" s="20">
        <v>6.7100000000000009</v>
      </c>
      <c r="J67" s="21">
        <v>4.1551200000000001</v>
      </c>
      <c r="K67" s="18">
        <v>15.8</v>
      </c>
      <c r="L67" s="18">
        <v>10.5</v>
      </c>
      <c r="M67" s="21">
        <v>0.82837810000000001</v>
      </c>
      <c r="N67" s="21">
        <v>0.89338534999999997</v>
      </c>
      <c r="O67" s="21">
        <v>1.6200697000000002</v>
      </c>
      <c r="P67" s="21">
        <v>2.7383478999999999</v>
      </c>
      <c r="Q67" s="21">
        <v>2.0788504999999997</v>
      </c>
      <c r="R67" s="21">
        <v>1.3577044300000003</v>
      </c>
      <c r="S67" s="21">
        <v>2.2222195</v>
      </c>
    </row>
    <row r="68" spans="1:19" s="23" customFormat="1" ht="16" customHeight="1" x14ac:dyDescent="0.15">
      <c r="A68" s="16">
        <v>65</v>
      </c>
      <c r="B68" s="16"/>
      <c r="C68" s="19" t="s">
        <v>2</v>
      </c>
      <c r="D68" s="16">
        <v>36</v>
      </c>
      <c r="E68" s="24" t="s">
        <v>7</v>
      </c>
      <c r="F68" s="17" t="s">
        <v>12</v>
      </c>
      <c r="G68" s="40">
        <v>17.399999999999999</v>
      </c>
      <c r="H68" s="21">
        <v>1.05</v>
      </c>
      <c r="I68" s="20">
        <v>8.33</v>
      </c>
      <c r="J68" s="21">
        <v>3.05118</v>
      </c>
      <c r="K68" s="21">
        <v>17.8</v>
      </c>
      <c r="L68" s="21">
        <v>5.34</v>
      </c>
      <c r="M68" s="21">
        <v>0.38314559999999986</v>
      </c>
      <c r="N68" s="21">
        <v>1.1191044399999996</v>
      </c>
      <c r="O68" s="21">
        <v>1.7747228100000001</v>
      </c>
      <c r="P68" s="21">
        <v>2.2617227999999998</v>
      </c>
      <c r="Q68" s="21">
        <v>2.9730710999999999</v>
      </c>
      <c r="R68" s="21">
        <v>2.3711609999999999</v>
      </c>
      <c r="S68" s="21">
        <v>2.3529213000000002</v>
      </c>
    </row>
    <row r="69" spans="1:19" s="23" customFormat="1" ht="16" customHeight="1" x14ac:dyDescent="0.15">
      <c r="A69" s="16">
        <v>66</v>
      </c>
      <c r="B69" s="16"/>
      <c r="C69" s="19" t="s">
        <v>2</v>
      </c>
      <c r="D69" s="16">
        <v>46</v>
      </c>
      <c r="E69" s="24" t="s">
        <v>6</v>
      </c>
      <c r="F69" s="17" t="s">
        <v>13</v>
      </c>
      <c r="G69" s="40">
        <v>21.2</v>
      </c>
      <c r="H69" s="21">
        <v>2.0099999999999998</v>
      </c>
      <c r="I69" s="20">
        <v>4.1399999999999997</v>
      </c>
      <c r="J69" s="21">
        <v>2.7384000000000004</v>
      </c>
      <c r="K69" s="21">
        <v>11.4</v>
      </c>
      <c r="L69" s="21">
        <v>4.0199999999999996</v>
      </c>
      <c r="M69" s="21">
        <v>0.31866295999999994</v>
      </c>
      <c r="N69" s="21">
        <v>1.3654440800000001</v>
      </c>
      <c r="O69" s="21">
        <v>1.9080068999999997</v>
      </c>
      <c r="P69" s="21">
        <v>1.6654636499999997</v>
      </c>
      <c r="Q69" s="21">
        <v>3.0075362999999999</v>
      </c>
      <c r="R69" s="21">
        <v>1.3291370099999997</v>
      </c>
      <c r="S69" s="21">
        <v>1.4568764549999997</v>
      </c>
    </row>
    <row r="70" spans="1:19" s="23" customFormat="1" ht="16" customHeight="1" x14ac:dyDescent="0.15">
      <c r="A70" s="16">
        <v>67</v>
      </c>
      <c r="B70" s="16"/>
      <c r="C70" s="19" t="s">
        <v>2</v>
      </c>
      <c r="D70" s="16">
        <v>36</v>
      </c>
      <c r="E70" s="24" t="s">
        <v>6</v>
      </c>
      <c r="F70" s="17" t="s">
        <v>13</v>
      </c>
      <c r="G70" s="40">
        <v>14.099999999999998</v>
      </c>
      <c r="H70" s="21">
        <v>0.83</v>
      </c>
      <c r="I70" s="20">
        <v>4.2700000000000005</v>
      </c>
      <c r="J70" s="21">
        <v>1.9711799999999999</v>
      </c>
      <c r="K70" s="21">
        <v>14.7</v>
      </c>
      <c r="L70" s="21">
        <v>6.01</v>
      </c>
      <c r="M70" s="21">
        <v>0.51676255999999998</v>
      </c>
      <c r="N70" s="21">
        <v>1.44401796</v>
      </c>
      <c r="O70" s="21">
        <v>2.6832966000000003</v>
      </c>
      <c r="P70" s="21">
        <v>9.0146706000000005</v>
      </c>
      <c r="Q70" s="21">
        <v>3.3465834000000001</v>
      </c>
      <c r="R70" s="21">
        <v>1.9114719600000003</v>
      </c>
      <c r="S70" s="21">
        <v>2.8883125199999999</v>
      </c>
    </row>
    <row r="71" spans="1:19" s="23" customFormat="1" ht="16" customHeight="1" x14ac:dyDescent="0.15">
      <c r="A71" s="16">
        <v>68</v>
      </c>
      <c r="B71" s="16"/>
      <c r="C71" s="19" t="s">
        <v>3</v>
      </c>
      <c r="D71" s="16">
        <v>60</v>
      </c>
      <c r="E71" s="24" t="s">
        <v>6</v>
      </c>
      <c r="F71" s="17" t="s">
        <v>13</v>
      </c>
      <c r="G71" s="40">
        <v>25.2</v>
      </c>
      <c r="H71" s="21">
        <v>1.47</v>
      </c>
      <c r="I71" s="20">
        <v>2.93</v>
      </c>
      <c r="J71" s="21">
        <v>3.4163000000000001</v>
      </c>
      <c r="K71" s="21">
        <v>7.7399999999999993</v>
      </c>
      <c r="L71" s="21">
        <v>1.37</v>
      </c>
      <c r="M71" s="21">
        <v>8.5690149999999993E-2</v>
      </c>
      <c r="N71" s="21">
        <v>1.7495857000000001</v>
      </c>
      <c r="O71" s="21">
        <v>2.1789300000000003</v>
      </c>
      <c r="P71" s="21">
        <v>3.0880200000000002</v>
      </c>
      <c r="Q71" s="21">
        <v>5.6276999999999999</v>
      </c>
      <c r="R71" s="21">
        <v>6.4357800000000003</v>
      </c>
      <c r="S71" s="21">
        <v>3.8095200000000005</v>
      </c>
    </row>
    <row r="72" spans="1:19" s="23" customFormat="1" ht="16" customHeight="1" x14ac:dyDescent="0.15">
      <c r="A72" s="16">
        <v>69</v>
      </c>
      <c r="B72" s="17"/>
      <c r="C72" s="24" t="s">
        <v>3</v>
      </c>
      <c r="D72" s="17">
        <v>27</v>
      </c>
      <c r="E72" s="24" t="s">
        <v>7</v>
      </c>
      <c r="F72" s="17" t="s">
        <v>13</v>
      </c>
      <c r="G72" s="39">
        <v>20.399999999999999</v>
      </c>
      <c r="H72" s="18">
        <v>4.2700000000000005</v>
      </c>
      <c r="I72" s="26">
        <v>8.1199999999999992</v>
      </c>
      <c r="J72" s="18">
        <v>3.5102799999999994</v>
      </c>
      <c r="K72" s="18">
        <v>6.2</v>
      </c>
      <c r="L72" s="18">
        <v>6.78</v>
      </c>
      <c r="M72" s="18">
        <v>0.33517771999999996</v>
      </c>
      <c r="N72" s="18">
        <v>0.84240484000000004</v>
      </c>
      <c r="O72" s="18">
        <v>1.9022915999999994</v>
      </c>
      <c r="P72" s="18">
        <v>2.4499209999999993</v>
      </c>
      <c r="Q72" s="18">
        <v>1.6140655999999998</v>
      </c>
      <c r="R72" s="18">
        <v>2.1184610999999993</v>
      </c>
      <c r="S72" s="18">
        <v>1.9887593999999997</v>
      </c>
    </row>
    <row r="73" spans="1:19" s="23" customFormat="1" ht="16" customHeight="1" x14ac:dyDescent="0.15">
      <c r="A73" s="16">
        <v>70</v>
      </c>
      <c r="B73" s="17">
        <v>194</v>
      </c>
      <c r="C73" s="24" t="s">
        <v>3</v>
      </c>
      <c r="D73" s="16">
        <v>19</v>
      </c>
      <c r="E73" s="24" t="s">
        <v>6</v>
      </c>
      <c r="F73" s="17" t="s">
        <v>12</v>
      </c>
      <c r="G73" s="40">
        <v>13.200000000000001</v>
      </c>
      <c r="H73" s="21">
        <v>1.3299999999999998</v>
      </c>
      <c r="I73" s="20">
        <v>9.98</v>
      </c>
      <c r="J73" s="21">
        <v>3.968</v>
      </c>
      <c r="K73" s="18">
        <v>6.64</v>
      </c>
      <c r="L73" s="18">
        <v>3.82</v>
      </c>
      <c r="M73" s="21">
        <v>0.38507039999999992</v>
      </c>
      <c r="N73" s="21">
        <v>0.71996495999999999</v>
      </c>
      <c r="O73" s="21">
        <v>1.3061763000000002</v>
      </c>
      <c r="P73" s="21">
        <v>1.228029</v>
      </c>
      <c r="Q73" s="21">
        <v>1.8532073999999998</v>
      </c>
      <c r="R73" s="21">
        <v>0.91878897000000004</v>
      </c>
      <c r="S73" s="21">
        <v>2.4225662999999997</v>
      </c>
    </row>
    <row r="74" spans="1:19" s="23" customFormat="1" ht="16" customHeight="1" x14ac:dyDescent="0.15">
      <c r="A74" s="16">
        <v>71</v>
      </c>
      <c r="B74" s="16"/>
      <c r="C74" s="19" t="s">
        <v>3</v>
      </c>
      <c r="D74" s="16">
        <v>42</v>
      </c>
      <c r="E74" s="24" t="s">
        <v>9</v>
      </c>
      <c r="F74" s="17" t="s">
        <v>13</v>
      </c>
      <c r="G74" s="40">
        <v>11.600000000000001</v>
      </c>
      <c r="H74" s="21">
        <v>2.25</v>
      </c>
      <c r="I74" s="20">
        <v>10.6</v>
      </c>
      <c r="J74" s="21">
        <v>4.3565900000000006</v>
      </c>
      <c r="K74" s="21">
        <v>3.2800000000000002</v>
      </c>
      <c r="L74" s="21">
        <v>6.03</v>
      </c>
      <c r="M74" s="21">
        <v>0.136419387</v>
      </c>
      <c r="N74" s="21">
        <v>1.5705126299999999</v>
      </c>
      <c r="O74" s="21">
        <v>2.2240139399999999</v>
      </c>
      <c r="P74" s="21">
        <v>3.2890347000000002</v>
      </c>
      <c r="Q74" s="21">
        <v>5.9515866000000006</v>
      </c>
      <c r="R74" s="21">
        <v>2.9757933000000003</v>
      </c>
      <c r="S74" s="21">
        <v>6.6563797500000002</v>
      </c>
    </row>
    <row r="75" spans="1:19" s="23" customFormat="1" ht="16" customHeight="1" x14ac:dyDescent="0.15">
      <c r="A75" s="16">
        <v>72</v>
      </c>
      <c r="B75" s="17">
        <v>140</v>
      </c>
      <c r="C75" s="24" t="s">
        <v>2</v>
      </c>
      <c r="D75" s="17">
        <v>35</v>
      </c>
      <c r="E75" s="24" t="s">
        <v>6</v>
      </c>
      <c r="F75" s="17" t="s">
        <v>13</v>
      </c>
      <c r="G75" s="39">
        <v>12.6</v>
      </c>
      <c r="H75" s="18">
        <v>0.67</v>
      </c>
      <c r="I75" s="26">
        <v>3.42</v>
      </c>
      <c r="J75" s="18">
        <v>7.4442000000000004</v>
      </c>
      <c r="K75" s="18">
        <v>25</v>
      </c>
      <c r="L75" s="18">
        <v>4.09</v>
      </c>
      <c r="M75" s="18">
        <v>0.49071760000000003</v>
      </c>
      <c r="N75" s="18">
        <v>0.69170300000000007</v>
      </c>
      <c r="O75" s="18">
        <v>0.93069207000000009</v>
      </c>
      <c r="P75" s="18">
        <v>3.4690821000000005</v>
      </c>
      <c r="Q75" s="18">
        <v>2.7355317000000001</v>
      </c>
      <c r="R75" s="18">
        <v>0.88790163</v>
      </c>
      <c r="S75" s="18">
        <v>2.3076273</v>
      </c>
    </row>
    <row r="76" spans="1:19" s="23" customFormat="1" ht="16" customHeight="1" x14ac:dyDescent="0.15">
      <c r="A76" s="16">
        <v>73</v>
      </c>
      <c r="B76" s="17"/>
      <c r="C76" s="24" t="s">
        <v>2</v>
      </c>
      <c r="D76" s="16">
        <v>26</v>
      </c>
      <c r="E76" s="24" t="s">
        <v>6</v>
      </c>
      <c r="F76" s="17" t="s">
        <v>13</v>
      </c>
      <c r="G76" s="40">
        <v>22.6</v>
      </c>
      <c r="H76" s="21">
        <v>2.13</v>
      </c>
      <c r="I76" s="20">
        <v>7.7299999999999995</v>
      </c>
      <c r="J76" s="21">
        <v>1.5311400000000002</v>
      </c>
      <c r="K76" s="18">
        <v>12.5</v>
      </c>
      <c r="L76" s="18">
        <v>4.47</v>
      </c>
      <c r="M76" s="21">
        <v>0.27330029999999994</v>
      </c>
      <c r="N76" s="21">
        <v>1.7512242299999998</v>
      </c>
      <c r="O76" s="21">
        <v>0.97371991499999977</v>
      </c>
      <c r="P76" s="21">
        <v>1.9376438549999995</v>
      </c>
      <c r="Q76" s="21">
        <v>4.2318611999999991</v>
      </c>
      <c r="R76" s="21">
        <v>3.1738958999999989</v>
      </c>
      <c r="S76" s="21">
        <v>3.4873670999999988</v>
      </c>
    </row>
    <row r="77" spans="1:19" s="23" customFormat="1" ht="16" customHeight="1" x14ac:dyDescent="0.15">
      <c r="A77" s="16">
        <v>74</v>
      </c>
      <c r="B77" s="17"/>
      <c r="C77" s="24" t="s">
        <v>2</v>
      </c>
      <c r="D77" s="17">
        <v>29</v>
      </c>
      <c r="E77" s="24" t="s">
        <v>11</v>
      </c>
      <c r="F77" s="17" t="s">
        <v>13</v>
      </c>
      <c r="G77" s="39">
        <v>26.5</v>
      </c>
      <c r="H77" s="18">
        <v>1.4000000000000001</v>
      </c>
      <c r="I77" s="26">
        <v>8.3000000000000007</v>
      </c>
      <c r="J77" s="18">
        <v>1.8735899999999999</v>
      </c>
      <c r="K77" s="18">
        <v>11.600000000000001</v>
      </c>
      <c r="L77" s="18">
        <v>4.47</v>
      </c>
      <c r="M77" s="18">
        <v>0.25591520000000001</v>
      </c>
      <c r="N77" s="18">
        <v>1.2635813</v>
      </c>
      <c r="O77" s="18">
        <v>3.3622640000000006</v>
      </c>
      <c r="P77" s="18">
        <v>2.5444160000000005</v>
      </c>
      <c r="Q77" s="18">
        <v>2.6352879999999996</v>
      </c>
      <c r="R77" s="18">
        <v>1.68476688</v>
      </c>
      <c r="S77" s="18">
        <v>1.8537888</v>
      </c>
    </row>
    <row r="78" spans="1:19" s="23" customFormat="1" ht="16" customHeight="1" x14ac:dyDescent="0.15">
      <c r="A78" s="16">
        <v>75</v>
      </c>
      <c r="B78" s="17"/>
      <c r="C78" s="24" t="s">
        <v>2</v>
      </c>
      <c r="D78" s="16">
        <v>32</v>
      </c>
      <c r="E78" s="24" t="s">
        <v>6</v>
      </c>
      <c r="F78" s="17" t="s">
        <v>13</v>
      </c>
      <c r="G78" s="40">
        <v>17.299999999999997</v>
      </c>
      <c r="H78" s="21">
        <v>1.78</v>
      </c>
      <c r="I78" s="20">
        <v>4.66</v>
      </c>
      <c r="J78" s="21">
        <v>1.5662000000000005</v>
      </c>
      <c r="K78" s="18">
        <v>12.1</v>
      </c>
      <c r="L78" s="18">
        <v>10.4</v>
      </c>
      <c r="M78" s="21">
        <v>0.36793386</v>
      </c>
      <c r="N78" s="21">
        <v>1.2286965599999997</v>
      </c>
      <c r="O78" s="21">
        <v>3.3011859999999986</v>
      </c>
      <c r="P78" s="21">
        <v>1.8891179999999999</v>
      </c>
      <c r="Q78" s="21">
        <v>2.4997419999999995</v>
      </c>
      <c r="R78" s="21">
        <v>2.7668899999999992</v>
      </c>
      <c r="S78" s="21">
        <v>3.0340379999999993</v>
      </c>
    </row>
    <row r="79" spans="1:19" s="23" customFormat="1" ht="16" customHeight="1" x14ac:dyDescent="0.15">
      <c r="A79" s="16">
        <v>76</v>
      </c>
      <c r="B79" s="17"/>
      <c r="C79" s="24" t="s">
        <v>2</v>
      </c>
      <c r="D79" s="16">
        <v>46</v>
      </c>
      <c r="E79" s="24" t="s">
        <v>6</v>
      </c>
      <c r="F79" s="17" t="s">
        <v>13</v>
      </c>
      <c r="G79" s="40">
        <v>17.8</v>
      </c>
      <c r="H79" s="21">
        <v>1.53</v>
      </c>
      <c r="I79" s="20">
        <v>5.5</v>
      </c>
      <c r="J79" s="21">
        <v>5.827700000000001</v>
      </c>
      <c r="K79" s="18">
        <v>19.3</v>
      </c>
      <c r="L79" s="18">
        <v>3.25</v>
      </c>
      <c r="M79" s="21">
        <v>0.34159587000000002</v>
      </c>
      <c r="N79" s="21">
        <v>1.4267761200000002</v>
      </c>
      <c r="O79" s="21">
        <v>1.2831600600000004</v>
      </c>
      <c r="P79" s="21">
        <v>4.4940168000000007</v>
      </c>
      <c r="Q79" s="21">
        <v>4.1392260000000007</v>
      </c>
      <c r="R79" s="21">
        <v>2.1090342</v>
      </c>
      <c r="S79" s="21">
        <v>3.0945642000000007</v>
      </c>
    </row>
    <row r="80" spans="1:19" s="23" customFormat="1" ht="16" customHeight="1" x14ac:dyDescent="0.15">
      <c r="A80" s="16">
        <v>77</v>
      </c>
      <c r="B80" s="17"/>
      <c r="C80" s="24" t="s">
        <v>3</v>
      </c>
      <c r="D80" s="16">
        <v>55</v>
      </c>
      <c r="E80" s="24" t="s">
        <v>6</v>
      </c>
      <c r="F80" s="17" t="s">
        <v>13</v>
      </c>
      <c r="G80" s="40">
        <v>21.9</v>
      </c>
      <c r="H80" s="21">
        <v>1.32</v>
      </c>
      <c r="I80" s="20">
        <v>4.2700000000000005</v>
      </c>
      <c r="J80" s="21">
        <v>3.7289999999999996</v>
      </c>
      <c r="K80" s="18">
        <v>8.75</v>
      </c>
      <c r="L80" s="18">
        <v>2.16</v>
      </c>
      <c r="M80" s="21">
        <v>0.32849600000000012</v>
      </c>
      <c r="N80" s="21">
        <v>1.2502960000000003</v>
      </c>
      <c r="O80" s="21">
        <v>0.52469700000000008</v>
      </c>
      <c r="P80" s="21">
        <v>1.2339500000000003</v>
      </c>
      <c r="Q80" s="21">
        <v>2.0387000000000004</v>
      </c>
      <c r="R80" s="21">
        <v>1.26614</v>
      </c>
      <c r="S80" s="21">
        <v>1.6309600000000004</v>
      </c>
    </row>
    <row r="81" spans="1:19" s="23" customFormat="1" ht="16" customHeight="1" x14ac:dyDescent="0.15">
      <c r="A81" s="16">
        <v>78</v>
      </c>
      <c r="B81" s="17">
        <v>153</v>
      </c>
      <c r="C81" s="24" t="s">
        <v>2</v>
      </c>
      <c r="D81" s="17">
        <v>41</v>
      </c>
      <c r="E81" s="24" t="s">
        <v>8</v>
      </c>
      <c r="F81" s="17" t="s">
        <v>13</v>
      </c>
      <c r="G81" s="39">
        <v>21.4</v>
      </c>
      <c r="H81" s="18">
        <v>1.49</v>
      </c>
      <c r="I81" s="26">
        <v>12.5</v>
      </c>
      <c r="J81" s="18">
        <v>3.3237099999999997</v>
      </c>
      <c r="K81" s="18">
        <v>1.8499999999999999</v>
      </c>
      <c r="L81" s="18">
        <v>0.21</v>
      </c>
      <c r="M81" s="18">
        <v>0.10739739199999999</v>
      </c>
      <c r="N81" s="18">
        <v>1.2963257599999998</v>
      </c>
      <c r="O81" s="18">
        <v>1.1764843650000001</v>
      </c>
      <c r="P81" s="18">
        <v>3.9216145500000001</v>
      </c>
      <c r="Q81" s="18">
        <v>7.8432291000000003</v>
      </c>
      <c r="R81" s="18">
        <v>2.9612191499999998</v>
      </c>
      <c r="S81" s="18">
        <v>4.2417463500000006</v>
      </c>
    </row>
    <row r="82" spans="1:19" s="23" customFormat="1" ht="16" customHeight="1" x14ac:dyDescent="0.15">
      <c r="A82" s="16">
        <v>79</v>
      </c>
      <c r="B82" s="16"/>
      <c r="C82" s="19" t="s">
        <v>2</v>
      </c>
      <c r="D82" s="16">
        <v>24</v>
      </c>
      <c r="E82" s="24" t="s">
        <v>6</v>
      </c>
      <c r="F82" s="17" t="s">
        <v>13</v>
      </c>
      <c r="G82" s="40">
        <v>17.2</v>
      </c>
      <c r="H82" s="21">
        <v>1.41</v>
      </c>
      <c r="I82" s="20">
        <v>3.6900000000000004</v>
      </c>
      <c r="J82" s="21">
        <v>4.3032000000000004</v>
      </c>
      <c r="K82" s="21">
        <v>17.299999999999997</v>
      </c>
      <c r="L82" s="21">
        <v>6.1899999999999995</v>
      </c>
      <c r="M82" s="21">
        <v>0.56064084999999997</v>
      </c>
      <c r="N82" s="21">
        <v>1.2590500999999998</v>
      </c>
      <c r="O82" s="21">
        <v>1.171997</v>
      </c>
      <c r="P82" s="21">
        <v>2.2578177500000001</v>
      </c>
      <c r="Q82" s="21">
        <v>4.6535174999999995</v>
      </c>
      <c r="R82" s="21">
        <v>1.3477965499999998</v>
      </c>
      <c r="S82" s="21">
        <v>2.9989334999999997</v>
      </c>
    </row>
    <row r="83" spans="1:19" s="23" customFormat="1" ht="16" customHeight="1" x14ac:dyDescent="0.15">
      <c r="A83" s="16">
        <v>80</v>
      </c>
      <c r="B83" s="17"/>
      <c r="C83" s="24" t="s">
        <v>3</v>
      </c>
      <c r="D83" s="16">
        <v>45</v>
      </c>
      <c r="E83" s="24" t="s">
        <v>8</v>
      </c>
      <c r="F83" s="17" t="s">
        <v>13</v>
      </c>
      <c r="G83" s="40">
        <v>12.4</v>
      </c>
      <c r="H83" s="21">
        <v>1.0900000000000001</v>
      </c>
      <c r="I83" s="20">
        <v>7.9399999999999995</v>
      </c>
      <c r="J83" s="21">
        <v>8.3292999999999999</v>
      </c>
      <c r="K83" s="18">
        <v>11.799999999999999</v>
      </c>
      <c r="L83" s="18">
        <v>8.7200000000000006</v>
      </c>
      <c r="M83" s="21">
        <v>0.62122445000000004</v>
      </c>
      <c r="N83" s="21">
        <v>1.7723913900000001</v>
      </c>
      <c r="O83" s="21">
        <v>0.78706862500000019</v>
      </c>
      <c r="P83" s="21">
        <v>1.2401463900000003</v>
      </c>
      <c r="Q83" s="21">
        <v>3.2030271000000008</v>
      </c>
      <c r="R83" s="21">
        <v>2.4364907000000002</v>
      </c>
      <c r="S83" s="21">
        <v>3.6410479000000011</v>
      </c>
    </row>
    <row r="84" spans="1:19" s="23" customFormat="1" ht="16" customHeight="1" x14ac:dyDescent="0.15">
      <c r="A84" s="16">
        <v>81</v>
      </c>
      <c r="B84" s="17"/>
      <c r="C84" s="24" t="s">
        <v>2</v>
      </c>
      <c r="D84" s="16">
        <v>55</v>
      </c>
      <c r="E84" s="25" t="s">
        <v>6</v>
      </c>
      <c r="F84" s="22" t="s">
        <v>13</v>
      </c>
      <c r="G84" s="40">
        <v>17.2</v>
      </c>
      <c r="H84" s="21">
        <v>2.79</v>
      </c>
      <c r="I84" s="20">
        <v>8</v>
      </c>
      <c r="J84" s="21">
        <v>2.3072000000000004</v>
      </c>
      <c r="K84" s="18">
        <v>13.100000000000001</v>
      </c>
      <c r="L84" s="18">
        <v>3.32</v>
      </c>
      <c r="M84" s="21">
        <v>0.36519335999999991</v>
      </c>
      <c r="N84" s="21">
        <v>1.4395187999999999</v>
      </c>
      <c r="O84" s="21">
        <v>1.0297995299999998</v>
      </c>
      <c r="P84" s="21">
        <v>1.4970378599999998</v>
      </c>
      <c r="Q84" s="21">
        <v>2.6877923999999993</v>
      </c>
      <c r="R84" s="21">
        <v>1.8126971999999997</v>
      </c>
      <c r="S84" s="21">
        <v>2.2346180999999992</v>
      </c>
    </row>
    <row r="85" spans="1:19" s="23" customFormat="1" ht="16" customHeight="1" x14ac:dyDescent="0.15">
      <c r="A85" s="16">
        <v>82</v>
      </c>
      <c r="B85" s="17"/>
      <c r="C85" s="24" t="s">
        <v>2</v>
      </c>
      <c r="D85" s="17">
        <v>46</v>
      </c>
      <c r="E85" s="24" t="s">
        <v>8</v>
      </c>
      <c r="F85" s="17" t="s">
        <v>13</v>
      </c>
      <c r="G85" s="39">
        <v>13.200000000000001</v>
      </c>
      <c r="H85" s="18">
        <v>0.91</v>
      </c>
      <c r="I85" s="26">
        <v>10.8</v>
      </c>
      <c r="J85" s="18">
        <v>14.706000000000001</v>
      </c>
      <c r="K85" s="18">
        <v>12.9</v>
      </c>
      <c r="L85" s="18">
        <v>7.9799999999999995</v>
      </c>
      <c r="M85" s="18">
        <v>0.55166696999999998</v>
      </c>
      <c r="N85" s="18">
        <v>1.6157609999999998</v>
      </c>
      <c r="O85" s="18">
        <v>0.72243864000000013</v>
      </c>
      <c r="P85" s="18">
        <v>0.56293920000000008</v>
      </c>
      <c r="Q85" s="18">
        <v>1.5715386000000002</v>
      </c>
      <c r="R85" s="18">
        <v>1.15871652</v>
      </c>
      <c r="S85" s="18">
        <v>1.759185</v>
      </c>
    </row>
    <row r="86" spans="1:19" s="23" customFormat="1" ht="16" customHeight="1" x14ac:dyDescent="0.15">
      <c r="A86" s="16">
        <v>83</v>
      </c>
      <c r="B86" s="17"/>
      <c r="C86" s="24" t="s">
        <v>3</v>
      </c>
      <c r="D86" s="17">
        <v>27</v>
      </c>
      <c r="E86" s="24" t="s">
        <v>6</v>
      </c>
      <c r="F86" s="17" t="s">
        <v>13</v>
      </c>
      <c r="G86" s="39">
        <v>8.57</v>
      </c>
      <c r="H86" s="18">
        <v>1.4000000000000001</v>
      </c>
      <c r="I86" s="26">
        <v>8.3099999999999987</v>
      </c>
      <c r="J86" s="18">
        <v>2.8302</v>
      </c>
      <c r="K86" s="18">
        <v>10.5</v>
      </c>
      <c r="L86" s="18">
        <v>5.3100000000000005</v>
      </c>
      <c r="M86" s="18">
        <v>0.43698620000000005</v>
      </c>
      <c r="N86" s="18">
        <v>1.37365662</v>
      </c>
      <c r="O86" s="18">
        <v>1.9774353749999998</v>
      </c>
      <c r="P86" s="18">
        <v>3.6013627500000003</v>
      </c>
      <c r="Q86" s="18">
        <v>3.5571742500000005</v>
      </c>
      <c r="R86" s="18">
        <v>2.4082732500000001</v>
      </c>
      <c r="S86" s="18">
        <v>3.0269122500000001</v>
      </c>
    </row>
    <row r="87" spans="1:19" s="23" customFormat="1" ht="16" customHeight="1" x14ac:dyDescent="0.15">
      <c r="A87" s="16">
        <v>84</v>
      </c>
      <c r="B87" s="16"/>
      <c r="C87" s="19" t="s">
        <v>3</v>
      </c>
      <c r="D87" s="16">
        <v>33</v>
      </c>
      <c r="E87" s="24" t="s">
        <v>8</v>
      </c>
      <c r="F87" s="17" t="s">
        <v>13</v>
      </c>
      <c r="G87" s="40">
        <v>16.7</v>
      </c>
      <c r="H87" s="21">
        <v>1.58</v>
      </c>
      <c r="I87" s="20">
        <v>5.21</v>
      </c>
      <c r="J87" s="21">
        <v>5.2150000000000007</v>
      </c>
      <c r="K87" s="21">
        <v>12.1</v>
      </c>
      <c r="L87" s="21">
        <v>19.400000000000002</v>
      </c>
      <c r="M87" s="21">
        <v>0.47110024999999994</v>
      </c>
      <c r="N87" s="21">
        <v>1.0412113999999999</v>
      </c>
      <c r="O87" s="21">
        <v>0.51858029999999988</v>
      </c>
      <c r="P87" s="21">
        <v>0.88338599999999989</v>
      </c>
      <c r="Q87" s="21">
        <v>1.7176949999999997</v>
      </c>
      <c r="R87" s="21">
        <v>1.2432839999999998</v>
      </c>
      <c r="S87" s="21">
        <v>1.6522590000000001</v>
      </c>
    </row>
    <row r="88" spans="1:19" s="23" customFormat="1" ht="16" customHeight="1" x14ac:dyDescent="0.15">
      <c r="A88" s="58">
        <v>85</v>
      </c>
      <c r="B88" s="16"/>
      <c r="C88" s="19" t="s">
        <v>2</v>
      </c>
      <c r="D88" s="16">
        <v>19</v>
      </c>
      <c r="E88" s="24" t="s">
        <v>8</v>
      </c>
      <c r="F88" s="17" t="s">
        <v>13</v>
      </c>
      <c r="G88" s="40">
        <v>12.3</v>
      </c>
      <c r="H88" s="21">
        <v>0.75</v>
      </c>
      <c r="I88" s="20">
        <v>5.2200000000000006</v>
      </c>
      <c r="J88" s="21">
        <v>5.71021</v>
      </c>
      <c r="K88" s="21">
        <v>16.5</v>
      </c>
      <c r="L88" s="21">
        <v>10.7</v>
      </c>
      <c r="M88" s="21">
        <v>0.78742775999999992</v>
      </c>
      <c r="N88" s="21">
        <v>1.05569359</v>
      </c>
      <c r="O88" s="21">
        <v>1.7711749999999997</v>
      </c>
      <c r="P88" s="21">
        <v>1.9660042499999997</v>
      </c>
      <c r="Q88" s="21">
        <v>2.3025274999999996</v>
      </c>
      <c r="R88" s="21">
        <v>2.0014277499999999</v>
      </c>
      <c r="S88" s="21">
        <v>2.8515917499999999</v>
      </c>
    </row>
    <row r="89" spans="1:19" s="23" customFormat="1" ht="16" customHeight="1" x14ac:dyDescent="0.15">
      <c r="A89" s="16">
        <v>86</v>
      </c>
      <c r="B89" s="17"/>
      <c r="C89" s="24" t="s">
        <v>2</v>
      </c>
      <c r="D89" s="17">
        <v>26</v>
      </c>
      <c r="E89" s="24" t="s">
        <v>9</v>
      </c>
      <c r="F89" s="17" t="s">
        <v>13</v>
      </c>
      <c r="G89" s="39">
        <v>11.600000000000001</v>
      </c>
      <c r="H89" s="18">
        <v>1.25</v>
      </c>
      <c r="I89" s="26">
        <v>9.2799999999999994</v>
      </c>
      <c r="J89" s="18">
        <v>3.3769999999999998</v>
      </c>
      <c r="K89" s="18">
        <v>8.3699999999999992</v>
      </c>
      <c r="L89" s="18">
        <v>7.4300000000000006</v>
      </c>
      <c r="M89" s="18">
        <v>0.40352927999999999</v>
      </c>
      <c r="N89" s="18">
        <v>1.4711188800000001</v>
      </c>
      <c r="O89" s="18">
        <v>1.6768382400000001</v>
      </c>
      <c r="P89" s="18">
        <v>1.6228555199999999</v>
      </c>
      <c r="Q89" s="18">
        <v>3.5763552000000001</v>
      </c>
      <c r="R89" s="18">
        <v>1.9737432000000004</v>
      </c>
      <c r="S89" s="18">
        <v>2.8678319999999999</v>
      </c>
    </row>
    <row r="90" spans="1:19" s="23" customFormat="1" ht="16" customHeight="1" x14ac:dyDescent="0.15">
      <c r="A90" s="16">
        <v>87</v>
      </c>
      <c r="B90" s="17"/>
      <c r="C90" s="24" t="s">
        <v>3</v>
      </c>
      <c r="D90" s="17">
        <v>25</v>
      </c>
      <c r="E90" s="24" t="s">
        <v>8</v>
      </c>
      <c r="F90" s="17" t="s">
        <v>13</v>
      </c>
      <c r="G90" s="39">
        <v>14.2</v>
      </c>
      <c r="H90" s="18">
        <v>0.44</v>
      </c>
      <c r="I90" s="26">
        <v>4.5600000000000005</v>
      </c>
      <c r="J90" s="18">
        <v>8.7614000000000001</v>
      </c>
      <c r="K90" s="18">
        <v>11.5</v>
      </c>
      <c r="L90" s="18">
        <v>16</v>
      </c>
      <c r="M90" s="18">
        <v>0.87613568000000008</v>
      </c>
      <c r="N90" s="18">
        <v>1.2717377599999997</v>
      </c>
      <c r="O90" s="18">
        <v>0.82892046000000019</v>
      </c>
      <c r="P90" s="18">
        <v>1.5740429500000004</v>
      </c>
      <c r="Q90" s="18">
        <v>3.1254378000000007</v>
      </c>
      <c r="R90" s="18">
        <v>0.93196931500000013</v>
      </c>
      <c r="S90" s="18">
        <v>2.7630682000000002</v>
      </c>
    </row>
    <row r="91" spans="1:19" s="23" customFormat="1" ht="16" customHeight="1" x14ac:dyDescent="0.15">
      <c r="A91" s="16">
        <v>88</v>
      </c>
      <c r="B91" s="17"/>
      <c r="C91" s="24" t="s">
        <v>2</v>
      </c>
      <c r="D91" s="16">
        <v>20</v>
      </c>
      <c r="E91" s="24" t="s">
        <v>9</v>
      </c>
      <c r="F91" s="17" t="s">
        <v>13</v>
      </c>
      <c r="G91" s="40">
        <v>10.199999999999999</v>
      </c>
      <c r="H91" s="21">
        <v>0.54999999999999993</v>
      </c>
      <c r="I91" s="20">
        <v>9.76</v>
      </c>
      <c r="J91" s="21">
        <v>5.191959999999999</v>
      </c>
      <c r="K91" s="18">
        <v>11.4</v>
      </c>
      <c r="L91" s="18">
        <v>10.4</v>
      </c>
      <c r="M91" s="21">
        <v>0.38779839999999999</v>
      </c>
      <c r="N91" s="21">
        <v>1.0560991999999998</v>
      </c>
      <c r="O91" s="21">
        <v>2.4554879999999999</v>
      </c>
      <c r="P91" s="21">
        <v>3.0401279999999997</v>
      </c>
      <c r="Q91" s="21">
        <v>3.11808</v>
      </c>
      <c r="R91" s="21">
        <v>1.3310303999999999</v>
      </c>
      <c r="S91" s="21">
        <v>3.5663040000000001</v>
      </c>
    </row>
    <row r="92" spans="1:19" s="23" customFormat="1" ht="16" customHeight="1" x14ac:dyDescent="0.15">
      <c r="A92" s="16">
        <v>89</v>
      </c>
      <c r="B92" s="17"/>
      <c r="C92" s="24" t="s">
        <v>3</v>
      </c>
      <c r="D92" s="17">
        <v>23</v>
      </c>
      <c r="E92" s="25" t="s">
        <v>8</v>
      </c>
      <c r="F92" s="22" t="s">
        <v>13</v>
      </c>
      <c r="G92" s="39">
        <v>17.299999999999997</v>
      </c>
      <c r="H92" s="18">
        <v>0.52</v>
      </c>
      <c r="I92" s="26">
        <v>11</v>
      </c>
      <c r="J92" s="18">
        <v>6.6654</v>
      </c>
      <c r="K92" s="18">
        <v>12.8</v>
      </c>
      <c r="L92" s="18">
        <v>6.0699999999999994</v>
      </c>
      <c r="M92" s="18">
        <v>0.72625105000000012</v>
      </c>
      <c r="N92" s="18">
        <v>1.2915835</v>
      </c>
      <c r="O92" s="18">
        <v>0.98236824999999983</v>
      </c>
      <c r="P92" s="18">
        <v>1.6264375</v>
      </c>
      <c r="Q92" s="18">
        <v>2.8104839999999998</v>
      </c>
      <c r="R92" s="18">
        <v>0.99407859999999981</v>
      </c>
      <c r="S92" s="18">
        <v>3.1487829999999994</v>
      </c>
    </row>
    <row r="93" spans="1:19" s="23" customFormat="1" ht="16" customHeight="1" x14ac:dyDescent="0.15">
      <c r="A93" s="16">
        <v>90</v>
      </c>
      <c r="B93" s="16"/>
      <c r="C93" s="19" t="s">
        <v>3</v>
      </c>
      <c r="D93" s="16">
        <v>29</v>
      </c>
      <c r="E93" s="24" t="s">
        <v>8</v>
      </c>
      <c r="F93" s="17" t="s">
        <v>13</v>
      </c>
      <c r="G93" s="40">
        <v>20.100000000000001</v>
      </c>
      <c r="H93" s="21">
        <v>1.5699999999999998</v>
      </c>
      <c r="I93" s="20">
        <v>7.86</v>
      </c>
      <c r="J93" s="21">
        <v>2.3674400000000007</v>
      </c>
      <c r="K93" s="21">
        <v>6.79</v>
      </c>
      <c r="L93" s="21">
        <v>7.5200000000000005</v>
      </c>
      <c r="M93" s="21">
        <v>0.33518671999999994</v>
      </c>
      <c r="N93" s="21">
        <v>1.5200327999999999</v>
      </c>
      <c r="O93" s="21">
        <v>0.51890163999999994</v>
      </c>
      <c r="P93" s="21">
        <v>0.83615090999999997</v>
      </c>
      <c r="Q93" s="21">
        <v>3.2495572999999998</v>
      </c>
      <c r="R93" s="21">
        <v>2.9541429999999997</v>
      </c>
      <c r="S93" s="21">
        <v>3.0312075999999992</v>
      </c>
    </row>
    <row r="94" spans="1:19" s="23" customFormat="1" ht="16" customHeight="1" x14ac:dyDescent="0.15">
      <c r="A94" s="27">
        <v>91</v>
      </c>
      <c r="B94" s="28"/>
      <c r="C94" s="29" t="s">
        <v>2</v>
      </c>
      <c r="D94" s="27">
        <v>45</v>
      </c>
      <c r="E94" s="29" t="s">
        <v>6</v>
      </c>
      <c r="F94" s="28" t="s">
        <v>13</v>
      </c>
      <c r="G94" s="41">
        <v>22.6</v>
      </c>
      <c r="H94" s="43">
        <v>0.70000000000000007</v>
      </c>
      <c r="I94" s="42">
        <v>7.42</v>
      </c>
      <c r="J94" s="43">
        <v>7.8731999999999998</v>
      </c>
      <c r="K94" s="31">
        <v>10.9</v>
      </c>
      <c r="L94" s="31">
        <v>2.2200000000000002</v>
      </c>
      <c r="M94" s="43">
        <v>0.46296768000000005</v>
      </c>
      <c r="N94" s="43">
        <v>1.78809456</v>
      </c>
      <c r="O94" s="43">
        <v>1.0880190399999998</v>
      </c>
      <c r="P94" s="43">
        <v>2.2754703999999997</v>
      </c>
      <c r="Q94" s="43">
        <v>3.7669551999999995</v>
      </c>
      <c r="R94" s="43">
        <v>1.5603225600000001</v>
      </c>
      <c r="S94" s="43">
        <v>2.4666863999999999</v>
      </c>
    </row>
    <row r="95" spans="1:19" s="23" customFormat="1" ht="8" customHeight="1" x14ac:dyDescent="0.15">
      <c r="A95" s="19"/>
      <c r="B95" s="24"/>
      <c r="C95" s="24"/>
      <c r="D95" s="19"/>
      <c r="E95" s="24"/>
      <c r="F95" s="24"/>
      <c r="G95" s="20"/>
      <c r="H95" s="20"/>
      <c r="I95" s="20"/>
      <c r="J95" s="20"/>
      <c r="K95" s="26"/>
      <c r="L95" s="26"/>
      <c r="M95" s="20"/>
      <c r="N95" s="20"/>
      <c r="O95" s="20"/>
      <c r="P95" s="20"/>
      <c r="Q95" s="20"/>
      <c r="R95" s="20"/>
      <c r="S95" s="20"/>
    </row>
    <row r="96" spans="1:19" ht="16" customHeight="1" x14ac:dyDescent="0.15">
      <c r="F96" s="47" t="s">
        <v>27</v>
      </c>
      <c r="G96" s="48">
        <f>MEDIAN(G4:G94)</f>
        <v>17.100000000000001</v>
      </c>
      <c r="H96" s="48">
        <f t="shared" ref="H96:S96" si="0">MEDIAN(H4:H94)</f>
        <v>1.4000000000000001</v>
      </c>
      <c r="I96" s="48">
        <f t="shared" si="0"/>
        <v>7.0000000000000009</v>
      </c>
      <c r="J96" s="48">
        <f t="shared" si="0"/>
        <v>4.4156000000000004</v>
      </c>
      <c r="K96" s="48">
        <f t="shared" si="0"/>
        <v>10.5</v>
      </c>
      <c r="L96" s="48">
        <f t="shared" si="0"/>
        <v>6.03</v>
      </c>
      <c r="M96" s="48">
        <f t="shared" si="0"/>
        <v>0.40352927999999999</v>
      </c>
      <c r="N96" s="48">
        <f t="shared" si="0"/>
        <v>1.2590500999999998</v>
      </c>
      <c r="O96" s="48">
        <f t="shared" si="0"/>
        <v>1.3321797500000003</v>
      </c>
      <c r="P96" s="48">
        <f t="shared" si="0"/>
        <v>1.8891179999999999</v>
      </c>
      <c r="Q96" s="48">
        <f t="shared" si="0"/>
        <v>3.0583631999999987</v>
      </c>
      <c r="R96" s="48">
        <f t="shared" si="0"/>
        <v>1.7032860000000001</v>
      </c>
      <c r="S96" s="48">
        <f t="shared" si="0"/>
        <v>2.6197920000000003</v>
      </c>
    </row>
    <row r="97" spans="1:21" ht="16" customHeight="1" x14ac:dyDescent="0.15">
      <c r="F97" s="47" t="s">
        <v>28</v>
      </c>
      <c r="G97" s="48">
        <f>AVERAGE(G4:G94)</f>
        <v>17.701208791208792</v>
      </c>
      <c r="H97" s="48">
        <f t="shared" ref="H97:S97" si="1">AVERAGE(H4:H94)</f>
        <v>1.5490109890109889</v>
      </c>
      <c r="I97" s="48">
        <f t="shared" si="1"/>
        <v>7.3741758241758237</v>
      </c>
      <c r="J97" s="48">
        <f t="shared" si="1"/>
        <v>5.1997148351648335</v>
      </c>
      <c r="K97" s="48">
        <f t="shared" si="1"/>
        <v>10.963033707865169</v>
      </c>
      <c r="L97" s="48">
        <f t="shared" si="1"/>
        <v>6.3685393258426961</v>
      </c>
      <c r="M97" s="48">
        <f t="shared" si="1"/>
        <v>0.44288627482022486</v>
      </c>
      <c r="N97" s="48">
        <f t="shared" si="1"/>
        <v>1.2430370593258429</v>
      </c>
      <c r="O97" s="48">
        <f t="shared" si="1"/>
        <v>1.5298819042134837</v>
      </c>
      <c r="P97" s="48">
        <f t="shared" si="1"/>
        <v>2.1298996061235949</v>
      </c>
      <c r="Q97" s="48">
        <f t="shared" si="1"/>
        <v>3.2109046264044947</v>
      </c>
      <c r="R97" s="48">
        <f t="shared" si="1"/>
        <v>1.8574522720786517</v>
      </c>
      <c r="S97" s="48">
        <f t="shared" si="1"/>
        <v>2.7103848804494368</v>
      </c>
    </row>
    <row r="98" spans="1:21" s="23" customFormat="1" ht="8" customHeight="1" x14ac:dyDescent="0.15">
      <c r="A98" s="19"/>
      <c r="B98" s="24"/>
      <c r="C98" s="24"/>
      <c r="D98" s="19"/>
      <c r="E98" s="24"/>
      <c r="F98" s="24"/>
      <c r="G98" s="20"/>
      <c r="H98" s="20"/>
      <c r="I98" s="20"/>
      <c r="J98" s="20"/>
      <c r="K98" s="26"/>
      <c r="L98" s="26"/>
      <c r="M98" s="20"/>
      <c r="N98" s="20"/>
      <c r="O98" s="20"/>
      <c r="P98" s="20"/>
      <c r="Q98" s="20"/>
      <c r="R98" s="20"/>
      <c r="S98" s="20"/>
    </row>
    <row r="99" spans="1:21" s="23" customFormat="1" ht="16" customHeight="1" x14ac:dyDescent="0.15">
      <c r="A99" s="11" t="s">
        <v>47</v>
      </c>
      <c r="B99" s="13">
        <v>119</v>
      </c>
      <c r="C99" s="55" t="s">
        <v>3</v>
      </c>
      <c r="D99" s="13">
        <v>23</v>
      </c>
      <c r="E99" s="56" t="s">
        <v>7</v>
      </c>
      <c r="F99" s="57" t="s">
        <v>12</v>
      </c>
      <c r="G99" s="36">
        <v>26.200000000000003</v>
      </c>
      <c r="H99" s="44">
        <v>1.7000000000000002</v>
      </c>
      <c r="I99" s="37">
        <v>7.9399999999999995</v>
      </c>
      <c r="J99" s="44">
        <v>4.1853499999999997</v>
      </c>
      <c r="K99" s="38">
        <v>13.200000000000001</v>
      </c>
      <c r="L99" s="15">
        <v>7.04</v>
      </c>
      <c r="M99" s="45">
        <v>0.43240218000000002</v>
      </c>
      <c r="N99" s="15">
        <v>1.09456788</v>
      </c>
      <c r="O99" s="45">
        <v>0.92429932000000004</v>
      </c>
      <c r="P99" s="45">
        <v>1.6943539999999999</v>
      </c>
      <c r="Q99" s="45">
        <v>2.6057996000000001</v>
      </c>
      <c r="R99" s="45">
        <v>0.85535664</v>
      </c>
      <c r="S99" s="15">
        <v>1.7761503999999999</v>
      </c>
    </row>
    <row r="100" spans="1:21" s="23" customFormat="1" ht="16" customHeight="1" x14ac:dyDescent="0.15">
      <c r="A100" s="16" t="s">
        <v>51</v>
      </c>
      <c r="B100" s="17">
        <v>114</v>
      </c>
      <c r="C100" s="24" t="s">
        <v>3</v>
      </c>
      <c r="D100" s="17">
        <v>20</v>
      </c>
      <c r="E100" s="24" t="s">
        <v>6</v>
      </c>
      <c r="F100" s="34" t="s">
        <v>13</v>
      </c>
      <c r="G100" s="39">
        <v>19.600000000000001</v>
      </c>
      <c r="H100" s="18">
        <v>1.2</v>
      </c>
      <c r="I100" s="26">
        <v>6.5500000000000007</v>
      </c>
      <c r="J100" s="18">
        <v>7.390200000000001</v>
      </c>
      <c r="K100" s="26">
        <v>15.8</v>
      </c>
      <c r="L100" s="18">
        <v>7.16</v>
      </c>
      <c r="M100" s="40">
        <v>0.68653056000000012</v>
      </c>
      <c r="N100" s="21">
        <v>0.74108928000000007</v>
      </c>
      <c r="O100" s="40">
        <v>0.82339839999999997</v>
      </c>
      <c r="P100" s="40">
        <v>1.0479616</v>
      </c>
      <c r="Q100" s="40">
        <v>1.8339328000000001</v>
      </c>
      <c r="R100" s="40">
        <v>1.1696</v>
      </c>
      <c r="S100" s="21">
        <v>1.2725248000000002</v>
      </c>
    </row>
    <row r="101" spans="1:21" s="23" customFormat="1" ht="16" customHeight="1" x14ac:dyDescent="0.15">
      <c r="A101" s="16" t="s">
        <v>56</v>
      </c>
      <c r="B101" s="17">
        <v>145</v>
      </c>
      <c r="C101" s="24" t="s">
        <v>3</v>
      </c>
      <c r="D101" s="16">
        <v>23</v>
      </c>
      <c r="E101" s="24" t="s">
        <v>6</v>
      </c>
      <c r="F101" s="34" t="s">
        <v>13</v>
      </c>
      <c r="G101" s="39">
        <v>24.2</v>
      </c>
      <c r="H101" s="18">
        <v>1.21</v>
      </c>
      <c r="I101" s="26">
        <v>2.4500000000000002</v>
      </c>
      <c r="J101" s="18">
        <v>4.7865600000000006</v>
      </c>
      <c r="K101" s="26">
        <v>18.7</v>
      </c>
      <c r="L101" s="18">
        <v>6.4799999999999995</v>
      </c>
      <c r="M101" s="40">
        <v>1.0349527999999999</v>
      </c>
      <c r="N101" s="21">
        <v>0.82484959999999996</v>
      </c>
      <c r="O101" s="40">
        <v>0.63559094999999999</v>
      </c>
      <c r="P101" s="40">
        <v>0.41617038000000006</v>
      </c>
      <c r="Q101" s="40">
        <v>2.0079816000000004</v>
      </c>
      <c r="R101" s="40">
        <v>1.1416346999999998</v>
      </c>
      <c r="S101" s="21">
        <v>2.3804297999999999</v>
      </c>
      <c r="T101" s="59"/>
      <c r="U101" s="3"/>
    </row>
    <row r="102" spans="1:21" s="23" customFormat="1" ht="16" customHeight="1" x14ac:dyDescent="0.15">
      <c r="A102" s="16" t="s">
        <v>59</v>
      </c>
      <c r="B102" s="17" t="s">
        <v>18</v>
      </c>
      <c r="C102" s="24" t="s">
        <v>3</v>
      </c>
      <c r="D102" s="17">
        <v>29</v>
      </c>
      <c r="E102" s="24" t="s">
        <v>10</v>
      </c>
      <c r="F102" s="34" t="s">
        <v>13</v>
      </c>
      <c r="G102" s="40">
        <v>16.2</v>
      </c>
      <c r="H102" s="21">
        <v>1.51</v>
      </c>
      <c r="I102" s="20">
        <v>9.6</v>
      </c>
      <c r="J102" s="21">
        <v>6.8355000000000006</v>
      </c>
      <c r="K102" s="26">
        <v>4.4400000000000004</v>
      </c>
      <c r="L102" s="18">
        <v>3.46</v>
      </c>
      <c r="M102" s="39">
        <v>0.42668640000000002</v>
      </c>
      <c r="N102" s="18">
        <v>1.2926088000000002</v>
      </c>
      <c r="O102" s="39">
        <v>0.46189440000000004</v>
      </c>
      <c r="P102" s="39">
        <v>0.55331100000000011</v>
      </c>
      <c r="Q102" s="39">
        <v>3.1113720000000007</v>
      </c>
      <c r="R102" s="39">
        <v>2.3094720000000004</v>
      </c>
      <c r="S102" s="18">
        <v>4.08969</v>
      </c>
      <c r="T102" s="59"/>
      <c r="U102" s="3"/>
    </row>
    <row r="103" spans="1:21" s="23" customFormat="1" ht="16" customHeight="1" x14ac:dyDescent="0.15">
      <c r="A103" s="16" t="s">
        <v>54</v>
      </c>
      <c r="B103" s="17">
        <v>122</v>
      </c>
      <c r="C103" s="24" t="s">
        <v>2</v>
      </c>
      <c r="D103" s="17">
        <v>24</v>
      </c>
      <c r="E103" s="24" t="s">
        <v>6</v>
      </c>
      <c r="F103" s="34" t="s">
        <v>13</v>
      </c>
      <c r="G103" s="40">
        <v>21.9</v>
      </c>
      <c r="H103" s="21">
        <v>1.5</v>
      </c>
      <c r="I103" s="20">
        <v>5.17</v>
      </c>
      <c r="J103" s="21">
        <v>5.1089599999999997</v>
      </c>
      <c r="K103" s="26">
        <v>16.2</v>
      </c>
      <c r="L103" s="18">
        <v>8.3800000000000008</v>
      </c>
      <c r="M103" s="39">
        <v>0.48241027999999997</v>
      </c>
      <c r="N103" s="18">
        <v>1.3385455199999996</v>
      </c>
      <c r="O103" s="39">
        <v>1.282902</v>
      </c>
      <c r="P103" s="39">
        <v>1.8925979999999998</v>
      </c>
      <c r="Q103" s="39">
        <v>2.0831280000000003</v>
      </c>
      <c r="R103" s="39">
        <v>0.82562999999999998</v>
      </c>
      <c r="S103" s="18">
        <v>2.1974459999999993</v>
      </c>
    </row>
    <row r="104" spans="1:21" s="23" customFormat="1" ht="16" customHeight="1" x14ac:dyDescent="0.15">
      <c r="A104" s="16" t="s">
        <v>49</v>
      </c>
      <c r="B104" s="17" t="s">
        <v>17</v>
      </c>
      <c r="C104" s="24" t="s">
        <v>2</v>
      </c>
      <c r="D104" s="17">
        <v>28</v>
      </c>
      <c r="E104" s="24" t="s">
        <v>7</v>
      </c>
      <c r="F104" s="34" t="s">
        <v>12</v>
      </c>
      <c r="G104" s="40">
        <v>10.5</v>
      </c>
      <c r="H104" s="21">
        <v>0.44</v>
      </c>
      <c r="I104" s="20">
        <v>8.8800000000000008</v>
      </c>
      <c r="J104" s="21">
        <v>10.918599999999998</v>
      </c>
      <c r="K104" s="26">
        <v>12.2</v>
      </c>
      <c r="L104" s="18">
        <v>5.08</v>
      </c>
      <c r="M104" s="40">
        <v>0.56190600000000002</v>
      </c>
      <c r="N104" s="21">
        <v>1.2953412000000002</v>
      </c>
      <c r="O104" s="40">
        <v>1.3319460000000005</v>
      </c>
      <c r="P104" s="40">
        <v>2.0411640000000002</v>
      </c>
      <c r="Q104" s="40">
        <v>2.9925540000000006</v>
      </c>
      <c r="R104" s="40">
        <v>1.0620972000000004</v>
      </c>
      <c r="S104" s="21">
        <v>3.0963420000000008</v>
      </c>
    </row>
    <row r="105" spans="1:21" s="23" customFormat="1" ht="16" customHeight="1" x14ac:dyDescent="0.15">
      <c r="A105" s="16" t="s">
        <v>53</v>
      </c>
      <c r="B105" s="17">
        <v>129</v>
      </c>
      <c r="C105" s="24" t="s">
        <v>3</v>
      </c>
      <c r="D105" s="16">
        <v>31</v>
      </c>
      <c r="E105" s="24" t="s">
        <v>6</v>
      </c>
      <c r="F105" s="34" t="s">
        <v>13</v>
      </c>
      <c r="G105" s="39">
        <v>17.599999999999998</v>
      </c>
      <c r="H105" s="18">
        <v>2.16</v>
      </c>
      <c r="I105" s="26">
        <v>11.3</v>
      </c>
      <c r="J105" s="18">
        <v>4.8843200000000007</v>
      </c>
      <c r="K105" s="26">
        <v>11.899999999999999</v>
      </c>
      <c r="L105" s="18">
        <v>4.84</v>
      </c>
      <c r="M105" s="40">
        <v>0.68553099999999989</v>
      </c>
      <c r="N105" s="21">
        <v>1.4447509999999999</v>
      </c>
      <c r="O105" s="40">
        <v>1.9093829999999998</v>
      </c>
      <c r="P105" s="40">
        <v>3.6955800000000001</v>
      </c>
      <c r="Q105" s="40">
        <v>3.9155550000000003</v>
      </c>
      <c r="R105" s="40">
        <v>2.1293579999999999</v>
      </c>
      <c r="S105" s="21">
        <v>2.2877399999999999</v>
      </c>
    </row>
    <row r="106" spans="1:21" s="23" customFormat="1" ht="16" customHeight="1" x14ac:dyDescent="0.15">
      <c r="A106" s="16" t="s">
        <v>50</v>
      </c>
      <c r="B106" s="17">
        <v>129</v>
      </c>
      <c r="C106" s="24" t="s">
        <v>2</v>
      </c>
      <c r="D106" s="17">
        <v>35</v>
      </c>
      <c r="E106" s="24" t="s">
        <v>7</v>
      </c>
      <c r="F106" s="34" t="s">
        <v>12</v>
      </c>
      <c r="G106" s="39">
        <v>20.3</v>
      </c>
      <c r="H106" s="18">
        <v>1.1599999999999999</v>
      </c>
      <c r="I106" s="26">
        <v>1.39</v>
      </c>
      <c r="J106" s="18">
        <v>7.1955000000000009</v>
      </c>
      <c r="K106" s="26">
        <v>5.47</v>
      </c>
      <c r="L106" s="18">
        <v>3.5700000000000003</v>
      </c>
      <c r="M106" s="40">
        <v>0.1276938</v>
      </c>
      <c r="N106" s="21">
        <v>0.91350179999999992</v>
      </c>
      <c r="O106" s="40">
        <v>1.22845944</v>
      </c>
      <c r="P106" s="40">
        <v>3.1484544000000003</v>
      </c>
      <c r="Q106" s="40">
        <v>2.6143416000000004</v>
      </c>
      <c r="R106" s="40">
        <v>1.0358977199999999</v>
      </c>
      <c r="S106" s="21">
        <v>2.9797872000000001</v>
      </c>
    </row>
    <row r="107" spans="1:21" s="23" customFormat="1" ht="16" customHeight="1" x14ac:dyDescent="0.15">
      <c r="A107" s="16" t="s">
        <v>60</v>
      </c>
      <c r="B107" s="17">
        <v>154</v>
      </c>
      <c r="C107" s="24" t="s">
        <v>2</v>
      </c>
      <c r="D107" s="16">
        <v>29</v>
      </c>
      <c r="E107" s="25" t="s">
        <v>6</v>
      </c>
      <c r="F107" s="33" t="s">
        <v>13</v>
      </c>
      <c r="G107" s="39">
        <v>11.799999999999999</v>
      </c>
      <c r="H107" s="18">
        <v>2.35</v>
      </c>
      <c r="I107" s="26">
        <v>15.1</v>
      </c>
      <c r="J107" s="18">
        <v>7.2013000000000016</v>
      </c>
      <c r="K107" s="26">
        <v>6.02</v>
      </c>
      <c r="L107" s="18">
        <v>9.3000000000000007</v>
      </c>
      <c r="M107" s="40">
        <v>0.36909248</v>
      </c>
      <c r="N107" s="21">
        <v>1.12272064</v>
      </c>
      <c r="O107" s="40">
        <v>2.2089363999999998</v>
      </c>
      <c r="P107" s="40">
        <v>3.2572451999999994</v>
      </c>
      <c r="Q107" s="40">
        <v>3.8937183999999996</v>
      </c>
      <c r="R107" s="40">
        <v>1.5911829999999998</v>
      </c>
      <c r="S107" s="21">
        <v>3.3508441999999992</v>
      </c>
      <c r="T107" s="59"/>
      <c r="U107" s="3"/>
    </row>
    <row r="108" spans="1:21" ht="16" customHeight="1" x14ac:dyDescent="0.15">
      <c r="A108" s="16" t="s">
        <v>55</v>
      </c>
      <c r="B108" s="17">
        <v>120</v>
      </c>
      <c r="C108" s="24" t="s">
        <v>3</v>
      </c>
      <c r="D108" s="17">
        <v>20</v>
      </c>
      <c r="E108" s="24" t="s">
        <v>6</v>
      </c>
      <c r="F108" s="34" t="s">
        <v>13</v>
      </c>
      <c r="G108" s="39">
        <v>19.7</v>
      </c>
      <c r="H108" s="18">
        <v>1.1400000000000001</v>
      </c>
      <c r="I108" s="26">
        <v>3.8600000000000003</v>
      </c>
      <c r="J108" s="18">
        <v>5.9029600000000011</v>
      </c>
      <c r="K108" s="26">
        <v>17.899999999999999</v>
      </c>
      <c r="L108" s="18">
        <v>4.37</v>
      </c>
      <c r="M108" s="39">
        <v>0.94859474999999982</v>
      </c>
      <c r="N108" s="18">
        <v>1.1172825</v>
      </c>
      <c r="O108" s="39">
        <v>1.6888094999999996</v>
      </c>
      <c r="P108" s="39">
        <v>1.8105254999999993</v>
      </c>
      <c r="Q108" s="39">
        <v>1.7800964999999997</v>
      </c>
      <c r="R108" s="39">
        <v>1.7344529999999996</v>
      </c>
      <c r="S108" s="18">
        <v>2.7233954999999992</v>
      </c>
      <c r="T108" s="23"/>
      <c r="U108" s="23"/>
    </row>
    <row r="109" spans="1:21" ht="16" customHeight="1" x14ac:dyDescent="0.15">
      <c r="A109" s="16" t="s">
        <v>58</v>
      </c>
      <c r="B109" s="17">
        <v>183</v>
      </c>
      <c r="C109" s="24" t="s">
        <v>2</v>
      </c>
      <c r="D109" s="16">
        <v>20</v>
      </c>
      <c r="E109" s="24" t="s">
        <v>7</v>
      </c>
      <c r="F109" s="34" t="s">
        <v>13</v>
      </c>
      <c r="G109" s="40">
        <v>24.5</v>
      </c>
      <c r="H109" s="21">
        <v>0.15</v>
      </c>
      <c r="I109" s="20">
        <v>7.01</v>
      </c>
      <c r="J109" s="21">
        <v>4.1264099999999999</v>
      </c>
      <c r="K109" s="20">
        <v>7.2499999999999991</v>
      </c>
      <c r="L109" s="21">
        <v>5.25</v>
      </c>
      <c r="M109" s="39">
        <v>0.27927207000000004</v>
      </c>
      <c r="N109" s="18">
        <v>1.2608072400000001</v>
      </c>
      <c r="O109" s="39">
        <v>0.60252192000000004</v>
      </c>
      <c r="P109" s="39">
        <v>0.65153088000000003</v>
      </c>
      <c r="Q109" s="39">
        <v>2.4936911999999998</v>
      </c>
      <c r="R109" s="39">
        <v>1.2843230400000001</v>
      </c>
      <c r="S109" s="18">
        <v>3.5026991999999999</v>
      </c>
    </row>
    <row r="110" spans="1:21" ht="16" customHeight="1" x14ac:dyDescent="0.15">
      <c r="A110" s="16" t="s">
        <v>57</v>
      </c>
      <c r="B110" s="17">
        <v>126</v>
      </c>
      <c r="C110" s="19" t="s">
        <v>3</v>
      </c>
      <c r="D110" s="16">
        <v>25</v>
      </c>
      <c r="E110" s="24" t="s">
        <v>6</v>
      </c>
      <c r="F110" s="34" t="s">
        <v>13</v>
      </c>
      <c r="G110" s="40">
        <v>14.299999999999999</v>
      </c>
      <c r="H110" s="21">
        <v>1.6500000000000001</v>
      </c>
      <c r="I110" s="20">
        <v>10.8</v>
      </c>
      <c r="J110" s="21">
        <v>1.7829600000000001</v>
      </c>
      <c r="K110" s="26">
        <v>13.100000000000001</v>
      </c>
      <c r="L110" s="18">
        <v>6.41</v>
      </c>
      <c r="M110" s="39">
        <v>0.79113635999999998</v>
      </c>
      <c r="N110" s="18">
        <v>1.1447967999999999</v>
      </c>
      <c r="O110" s="39">
        <v>0.87745801999999995</v>
      </c>
      <c r="P110" s="39">
        <v>1.35125418</v>
      </c>
      <c r="Q110" s="39">
        <v>2.4469078</v>
      </c>
      <c r="R110" s="39">
        <v>1.2405978400000002</v>
      </c>
      <c r="S110" s="18">
        <v>2.0728582000000002</v>
      </c>
    </row>
    <row r="111" spans="1:21" ht="16" customHeight="1" x14ac:dyDescent="0.15">
      <c r="A111" s="16" t="s">
        <v>48</v>
      </c>
      <c r="B111" s="17">
        <v>194</v>
      </c>
      <c r="C111" s="24" t="s">
        <v>3</v>
      </c>
      <c r="D111" s="16">
        <v>19</v>
      </c>
      <c r="E111" s="24" t="s">
        <v>6</v>
      </c>
      <c r="F111" s="34" t="s">
        <v>12</v>
      </c>
      <c r="G111" s="39">
        <v>13.600000000000001</v>
      </c>
      <c r="H111" s="18">
        <v>1.43</v>
      </c>
      <c r="I111" s="26">
        <v>8.16</v>
      </c>
      <c r="J111" s="18">
        <v>5.7948000000000004</v>
      </c>
      <c r="K111" s="26">
        <v>5.43</v>
      </c>
      <c r="L111" s="18">
        <v>3.4000000000000004</v>
      </c>
      <c r="M111" s="39">
        <v>0.32207760000000002</v>
      </c>
      <c r="N111" s="18">
        <v>0.90779129999999986</v>
      </c>
      <c r="O111" s="39">
        <v>1.2032955000000001</v>
      </c>
      <c r="P111" s="39">
        <v>1.17534015</v>
      </c>
      <c r="Q111" s="39">
        <v>2.6132175000000002</v>
      </c>
      <c r="R111" s="39">
        <v>1.01490075</v>
      </c>
      <c r="S111" s="18">
        <v>2.9900070000000003</v>
      </c>
      <c r="T111" s="23"/>
      <c r="U111" s="23"/>
    </row>
    <row r="112" spans="1:21" ht="16" customHeight="1" x14ac:dyDescent="0.15">
      <c r="A112" s="16" t="s">
        <v>52</v>
      </c>
      <c r="B112" s="17">
        <v>140</v>
      </c>
      <c r="C112" s="24" t="s">
        <v>2</v>
      </c>
      <c r="D112" s="17">
        <v>35</v>
      </c>
      <c r="E112" s="24" t="s">
        <v>6</v>
      </c>
      <c r="F112" s="34" t="s">
        <v>13</v>
      </c>
      <c r="G112" s="39">
        <v>14.6</v>
      </c>
      <c r="H112" s="18">
        <v>0.95</v>
      </c>
      <c r="I112" s="26">
        <v>3.35</v>
      </c>
      <c r="J112" s="18">
        <v>5.7994200000000005</v>
      </c>
      <c r="K112" s="26">
        <v>26.8</v>
      </c>
      <c r="L112" s="18">
        <v>3.9600000000000004</v>
      </c>
      <c r="M112" s="40">
        <v>0.66469199999999995</v>
      </c>
      <c r="N112" s="21">
        <v>0.83491800000000005</v>
      </c>
      <c r="O112" s="40">
        <v>0.97416899999999973</v>
      </c>
      <c r="P112" s="40">
        <v>3.0261419999999997</v>
      </c>
      <c r="Q112" s="40">
        <v>2.4181499999999998</v>
      </c>
      <c r="R112" s="40">
        <v>0.80973479999999987</v>
      </c>
      <c r="S112" s="21">
        <v>2.6392379999999998</v>
      </c>
      <c r="T112" s="23"/>
      <c r="U112" s="23"/>
    </row>
    <row r="113" spans="1:19" s="23" customFormat="1" ht="16" customHeight="1" x14ac:dyDescent="0.15">
      <c r="A113" s="27" t="s">
        <v>61</v>
      </c>
      <c r="B113" s="28">
        <v>153</v>
      </c>
      <c r="C113" s="29" t="s">
        <v>2</v>
      </c>
      <c r="D113" s="28">
        <v>42</v>
      </c>
      <c r="E113" s="29" t="s">
        <v>8</v>
      </c>
      <c r="F113" s="35" t="s">
        <v>13</v>
      </c>
      <c r="G113" s="41">
        <v>24.5</v>
      </c>
      <c r="H113" s="43">
        <v>1.9</v>
      </c>
      <c r="I113" s="42">
        <v>10.4</v>
      </c>
      <c r="J113" s="43">
        <v>3.0445800000000003</v>
      </c>
      <c r="K113" s="30">
        <v>1.63</v>
      </c>
      <c r="L113" s="31">
        <v>0.19</v>
      </c>
      <c r="M113" s="46">
        <v>0.11664664</v>
      </c>
      <c r="N113" s="31">
        <v>1.1186179999999999</v>
      </c>
      <c r="O113" s="46">
        <v>1.4701882000000004</v>
      </c>
      <c r="P113" s="46">
        <v>3.4168040000000004</v>
      </c>
      <c r="Q113" s="46">
        <v>6.3764300000000018</v>
      </c>
      <c r="R113" s="46">
        <v>2.9115020000000005</v>
      </c>
      <c r="S113" s="31">
        <v>5.4139500000000007</v>
      </c>
    </row>
    <row r="114" spans="1:19" ht="8" customHeight="1" x14ac:dyDescent="0.15"/>
    <row r="115" spans="1:19" ht="16" customHeight="1" x14ac:dyDescent="0.15">
      <c r="F115" s="47" t="s">
        <v>27</v>
      </c>
      <c r="G115" s="48">
        <f>MEDIAN(G4:G94,G99:G113)</f>
        <v>17.2</v>
      </c>
      <c r="H115" s="48">
        <f t="shared" ref="H115:S115" si="2">MEDIAN(H4:H94,H99:H113)</f>
        <v>1.405</v>
      </c>
      <c r="I115" s="48">
        <f t="shared" si="2"/>
        <v>7.0250000000000004</v>
      </c>
      <c r="J115" s="48">
        <f t="shared" si="2"/>
        <v>4.9966400000000002</v>
      </c>
      <c r="K115" s="48">
        <f t="shared" si="2"/>
        <v>10.65</v>
      </c>
      <c r="L115" s="48">
        <f t="shared" si="2"/>
        <v>5.9450000000000003</v>
      </c>
      <c r="M115" s="48">
        <f t="shared" si="2"/>
        <v>0.42129315000000001</v>
      </c>
      <c r="N115" s="48">
        <f t="shared" si="2"/>
        <v>1.24358576</v>
      </c>
      <c r="O115" s="48">
        <f t="shared" si="2"/>
        <v>1.30261966</v>
      </c>
      <c r="P115" s="48">
        <f t="shared" si="2"/>
        <v>1.8753495249999999</v>
      </c>
      <c r="Q115" s="48">
        <f t="shared" si="2"/>
        <v>2.9828125500000002</v>
      </c>
      <c r="R115" s="48">
        <f t="shared" si="2"/>
        <v>1.6499754800000002</v>
      </c>
      <c r="S115" s="48">
        <f t="shared" si="2"/>
        <v>2.6248605249999999</v>
      </c>
    </row>
    <row r="116" spans="1:19" ht="16" customHeight="1" x14ac:dyDescent="0.15">
      <c r="A116" s="12"/>
      <c r="B116" s="19"/>
      <c r="F116" s="47" t="s">
        <v>28</v>
      </c>
      <c r="G116" s="48">
        <f>AVERAGE(G4:G94,G99:G113)</f>
        <v>17.833113207547168</v>
      </c>
      <c r="H116" s="48">
        <f t="shared" ref="H116:S116" si="3">AVERAGE(H4:H94,H99:H113)</f>
        <v>1.5227358490566032</v>
      </c>
      <c r="I116" s="48">
        <f t="shared" si="3"/>
        <v>7.3868867924528292</v>
      </c>
      <c r="J116" s="48">
        <f t="shared" si="3"/>
        <v>5.2653912264150939</v>
      </c>
      <c r="K116" s="48">
        <f t="shared" si="3"/>
        <v>11.074519230769234</v>
      </c>
      <c r="L116" s="48">
        <f t="shared" si="3"/>
        <v>6.2085576923076928</v>
      </c>
      <c r="M116" s="48">
        <f t="shared" si="3"/>
        <v>0.45525484018269241</v>
      </c>
      <c r="N116" s="48">
        <f t="shared" si="3"/>
        <v>1.2219469984615385</v>
      </c>
      <c r="O116" s="48">
        <f t="shared" si="3"/>
        <v>1.4786802069711535</v>
      </c>
      <c r="P116" s="48">
        <f t="shared" si="3"/>
        <v>2.1032644253365387</v>
      </c>
      <c r="Q116" s="48">
        <f t="shared" si="3"/>
        <v>3.1630518052884629</v>
      </c>
      <c r="R116" s="48">
        <f t="shared" si="3"/>
        <v>1.7925864702403849</v>
      </c>
      <c r="S116" s="48">
        <f t="shared" si="3"/>
        <v>2.7307438140384592</v>
      </c>
    </row>
    <row r="117" spans="1:19" ht="16" customHeight="1" x14ac:dyDescent="0.15">
      <c r="A117" s="12"/>
    </row>
    <row r="118" spans="1:19" ht="16" customHeight="1" x14ac:dyDescent="0.15">
      <c r="A118" s="12"/>
    </row>
    <row r="119" spans="1:19" ht="16" customHeight="1" x14ac:dyDescent="0.15">
      <c r="A119" s="12"/>
    </row>
    <row r="120" spans="1:19" ht="16" customHeight="1" x14ac:dyDescent="0.15">
      <c r="A120" s="12"/>
      <c r="B120" s="19"/>
    </row>
    <row r="121" spans="1:19" ht="16" customHeight="1" x14ac:dyDescent="0.15">
      <c r="A121" s="12"/>
    </row>
    <row r="122" spans="1:19" ht="16" customHeight="1" x14ac:dyDescent="0.15">
      <c r="A122" s="12"/>
      <c r="B122" s="19"/>
    </row>
    <row r="123" spans="1:19" ht="16" customHeight="1" x14ac:dyDescent="0.15">
      <c r="A123" s="12"/>
      <c r="B123" s="19"/>
    </row>
    <row r="124" spans="1:19" ht="16" customHeight="1" x14ac:dyDescent="0.15">
      <c r="A124" s="12"/>
    </row>
    <row r="125" spans="1:19" ht="16" customHeight="1" x14ac:dyDescent="0.15">
      <c r="A125" s="12"/>
    </row>
    <row r="126" spans="1:19" ht="16" customHeight="1" x14ac:dyDescent="0.15">
      <c r="A126" s="12"/>
      <c r="B126" s="19"/>
    </row>
    <row r="127" spans="1:19" ht="16" customHeight="1" x14ac:dyDescent="0.15">
      <c r="A127" s="12"/>
    </row>
    <row r="128" spans="1:19" ht="16" customHeight="1" x14ac:dyDescent="0.15">
      <c r="A128" s="12"/>
      <c r="B128" s="19"/>
    </row>
    <row r="129" spans="1:2" ht="16" customHeight="1" x14ac:dyDescent="0.15">
      <c r="A129" s="12"/>
    </row>
    <row r="130" spans="1:2" ht="16" customHeight="1" x14ac:dyDescent="0.15">
      <c r="A130" s="12"/>
    </row>
    <row r="131" spans="1:2" ht="16" customHeight="1" x14ac:dyDescent="0.15">
      <c r="A131" s="12"/>
      <c r="B131" s="19"/>
    </row>
    <row r="132" spans="1:2" ht="16" customHeight="1" x14ac:dyDescent="0.15">
      <c r="A132" s="12"/>
    </row>
    <row r="133" spans="1:2" ht="16" customHeight="1" x14ac:dyDescent="0.15">
      <c r="A133" s="12"/>
    </row>
    <row r="134" spans="1:2" ht="16" customHeight="1" x14ac:dyDescent="0.15">
      <c r="A134" s="12"/>
      <c r="B134" s="19"/>
    </row>
    <row r="135" spans="1:2" ht="16" customHeight="1" x14ac:dyDescent="0.15">
      <c r="A135" s="12"/>
      <c r="B135" s="19"/>
    </row>
    <row r="136" spans="1:2" ht="16" customHeight="1" x14ac:dyDescent="0.15">
      <c r="A136" s="12"/>
      <c r="B136" s="19"/>
    </row>
    <row r="137" spans="1:2" ht="16" customHeight="1" x14ac:dyDescent="0.15">
      <c r="A137" s="12"/>
      <c r="B137" s="19"/>
    </row>
    <row r="138" spans="1:2" ht="16" customHeight="1" x14ac:dyDescent="0.15">
      <c r="A138" s="12"/>
      <c r="B138" s="19"/>
    </row>
    <row r="139" spans="1:2" ht="16" customHeight="1" x14ac:dyDescent="0.15">
      <c r="A139" s="12"/>
      <c r="B139" s="19"/>
    </row>
    <row r="140" spans="1:2" ht="16" customHeight="1" x14ac:dyDescent="0.15">
      <c r="A140" s="12"/>
      <c r="B140" s="19"/>
    </row>
    <row r="141" spans="1:2" ht="16" customHeight="1" x14ac:dyDescent="0.15">
      <c r="A141" s="12"/>
      <c r="B141" s="19"/>
    </row>
    <row r="142" spans="1:2" ht="16" customHeight="1" x14ac:dyDescent="0.15">
      <c r="A142" s="12"/>
      <c r="B142" s="19"/>
    </row>
    <row r="143" spans="1:2" ht="16" customHeight="1" x14ac:dyDescent="0.15">
      <c r="A143" s="12"/>
      <c r="B143" s="19"/>
    </row>
    <row r="144" spans="1:2" ht="16" customHeight="1" x14ac:dyDescent="0.15">
      <c r="A144" s="12"/>
      <c r="B144" s="19"/>
    </row>
    <row r="145" spans="1:2" ht="16" customHeight="1" x14ac:dyDescent="0.15">
      <c r="A145" s="12"/>
    </row>
    <row r="146" spans="1:2" ht="16" customHeight="1" x14ac:dyDescent="0.15">
      <c r="A146" s="12"/>
      <c r="B146" s="19"/>
    </row>
    <row r="147" spans="1:2" ht="16" customHeight="1" x14ac:dyDescent="0.15">
      <c r="A147" s="12"/>
      <c r="B147" s="19"/>
    </row>
    <row r="148" spans="1:2" ht="16" customHeight="1" x14ac:dyDescent="0.15">
      <c r="A148" s="12"/>
      <c r="B148" s="19"/>
    </row>
    <row r="149" spans="1:2" ht="16" customHeight="1" x14ac:dyDescent="0.15">
      <c r="A149" s="12"/>
      <c r="B149" s="19"/>
    </row>
    <row r="150" spans="1:2" ht="16" customHeight="1" x14ac:dyDescent="0.15">
      <c r="A150" s="12"/>
      <c r="B150" s="19"/>
    </row>
    <row r="151" spans="1:2" ht="16" customHeight="1" x14ac:dyDescent="0.15">
      <c r="A151" s="12"/>
      <c r="B151" s="19"/>
    </row>
    <row r="152" spans="1:2" ht="16" customHeight="1" x14ac:dyDescent="0.15">
      <c r="A152" s="12"/>
      <c r="B152" s="19"/>
    </row>
    <row r="153" spans="1:2" ht="16" customHeight="1" x14ac:dyDescent="0.15">
      <c r="A153" s="12"/>
    </row>
    <row r="154" spans="1:2" ht="16" customHeight="1" x14ac:dyDescent="0.15">
      <c r="A154" s="12"/>
      <c r="B154" s="19"/>
    </row>
    <row r="155" spans="1:2" ht="16" customHeight="1" x14ac:dyDescent="0.15">
      <c r="A155" s="12"/>
    </row>
    <row r="156" spans="1:2" ht="16" customHeight="1" x14ac:dyDescent="0.15">
      <c r="A156" s="12"/>
    </row>
    <row r="157" spans="1:2" ht="16" customHeight="1" x14ac:dyDescent="0.15">
      <c r="A157" s="12"/>
      <c r="B157" s="19"/>
    </row>
    <row r="158" spans="1:2" ht="16" customHeight="1" x14ac:dyDescent="0.15">
      <c r="A158" s="12"/>
    </row>
    <row r="159" spans="1:2" ht="16" customHeight="1" x14ac:dyDescent="0.15">
      <c r="A159" s="12"/>
      <c r="B159" s="19"/>
    </row>
    <row r="160" spans="1:2" ht="16" customHeight="1" x14ac:dyDescent="0.15">
      <c r="A160" s="12"/>
      <c r="B160" s="19"/>
    </row>
    <row r="161" spans="1:2" ht="16" customHeight="1" x14ac:dyDescent="0.15">
      <c r="A161" s="12"/>
      <c r="B161" s="19"/>
    </row>
    <row r="162" spans="1:2" ht="16" customHeight="1" x14ac:dyDescent="0.15">
      <c r="A162" s="12"/>
      <c r="B162" s="19"/>
    </row>
    <row r="163" spans="1:2" ht="16" customHeight="1" x14ac:dyDescent="0.15">
      <c r="A163" s="12"/>
    </row>
    <row r="164" spans="1:2" ht="16" customHeight="1" x14ac:dyDescent="0.15">
      <c r="A164" s="12"/>
      <c r="B164" s="19"/>
    </row>
    <row r="165" spans="1:2" ht="16" customHeight="1" x14ac:dyDescent="0.15">
      <c r="A165" s="12"/>
    </row>
    <row r="166" spans="1:2" ht="16" customHeight="1" x14ac:dyDescent="0.15">
      <c r="A166" s="12"/>
    </row>
    <row r="167" spans="1:2" ht="16" customHeight="1" x14ac:dyDescent="0.15">
      <c r="A167" s="12"/>
    </row>
    <row r="168" spans="1:2" ht="16" customHeight="1" x14ac:dyDescent="0.15">
      <c r="A168" s="12"/>
    </row>
    <row r="169" spans="1:2" ht="16" customHeight="1" x14ac:dyDescent="0.15">
      <c r="A169" s="12"/>
    </row>
  </sheetData>
  <sortState ref="A100:U112">
    <sortCondition ref="A100:A112"/>
  </sortState>
  <phoneticPr fontId="6" type="noConversion"/>
  <pageMargins left="0.75" right="0.75" top="1" bottom="1" header="0.5" footer="0.5"/>
  <pageSetup scale="80" fitToHeight="2" orientation="portrait" horizontalDpi="4294967292" verticalDpi="4294967292"/>
  <ignoredErrors>
    <ignoredError sqref="B25 B33 B102:B10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67F2B-2762-AA47-BD2F-C3FD7FCED3F7}">
  <dimension ref="A1:BI116"/>
  <sheetViews>
    <sheetView zoomScale="98" zoomScaleNormal="98" workbookViewId="0"/>
  </sheetViews>
  <sheetFormatPr baseColWidth="10" defaultRowHeight="16" customHeight="1" x14ac:dyDescent="0.15"/>
  <cols>
    <col min="1" max="1" width="11.6640625" style="61" customWidth="1"/>
    <col min="2" max="61" width="18.33203125" style="61" customWidth="1"/>
    <col min="62" max="16384" width="10.83203125" style="61"/>
  </cols>
  <sheetData>
    <row r="1" spans="1:61" ht="16" customHeight="1" x14ac:dyDescent="0.15">
      <c r="A1" s="92" t="s">
        <v>63</v>
      </c>
    </row>
    <row r="3" spans="1:61" ht="16" customHeight="1" x14ac:dyDescent="0.2">
      <c r="B3" s="105" t="s">
        <v>20</v>
      </c>
      <c r="C3" s="106"/>
      <c r="D3" s="106"/>
      <c r="E3" s="107"/>
      <c r="F3" s="108" t="s">
        <v>21</v>
      </c>
      <c r="G3" s="109"/>
      <c r="H3" s="109"/>
      <c r="I3" s="110"/>
      <c r="J3" s="111" t="s">
        <v>14</v>
      </c>
      <c r="K3" s="112"/>
      <c r="L3" s="112"/>
      <c r="M3" s="113"/>
      <c r="N3" s="114" t="s">
        <v>15</v>
      </c>
      <c r="O3" s="115"/>
      <c r="P3" s="115"/>
      <c r="Q3" s="116"/>
      <c r="R3" s="117" t="s">
        <v>46</v>
      </c>
      <c r="S3" s="118"/>
      <c r="T3" s="118"/>
      <c r="U3" s="119"/>
      <c r="V3" s="120" t="s">
        <v>45</v>
      </c>
      <c r="W3" s="121"/>
      <c r="X3" s="121"/>
      <c r="Y3" s="122"/>
      <c r="Z3" s="99" t="s">
        <v>44</v>
      </c>
      <c r="AA3" s="100"/>
      <c r="AB3" s="100"/>
      <c r="AC3" s="101"/>
      <c r="AD3" s="102" t="s">
        <v>43</v>
      </c>
      <c r="AE3" s="103"/>
      <c r="AF3" s="103"/>
      <c r="AG3" s="104"/>
      <c r="AH3" s="123" t="s">
        <v>42</v>
      </c>
      <c r="AI3" s="124"/>
      <c r="AJ3" s="124"/>
      <c r="AK3" s="125"/>
      <c r="AL3" s="126" t="s">
        <v>41</v>
      </c>
      <c r="AM3" s="127"/>
      <c r="AN3" s="127"/>
      <c r="AO3" s="128"/>
      <c r="AP3" s="129" t="s">
        <v>30</v>
      </c>
      <c r="AQ3" s="130"/>
      <c r="AR3" s="130"/>
      <c r="AS3" s="131"/>
      <c r="AT3" s="132" t="s">
        <v>23</v>
      </c>
      <c r="AU3" s="133"/>
      <c r="AV3" s="133"/>
      <c r="AW3" s="134"/>
      <c r="AX3" s="135" t="s">
        <v>24</v>
      </c>
      <c r="AY3" s="136"/>
      <c r="AZ3" s="136"/>
      <c r="BA3" s="137"/>
      <c r="BB3" s="93" t="s">
        <v>25</v>
      </c>
      <c r="BC3" s="94"/>
      <c r="BD3" s="94"/>
      <c r="BE3" s="95"/>
      <c r="BF3" s="96" t="s">
        <v>40</v>
      </c>
      <c r="BG3" s="97"/>
      <c r="BH3" s="97"/>
      <c r="BI3" s="98"/>
    </row>
    <row r="4" spans="1:61" ht="32" customHeight="1" x14ac:dyDescent="0.15">
      <c r="A4" s="91" t="s">
        <v>16</v>
      </c>
      <c r="B4" s="90" t="s">
        <v>39</v>
      </c>
      <c r="C4" s="90" t="s">
        <v>38</v>
      </c>
      <c r="D4" s="90" t="s">
        <v>37</v>
      </c>
      <c r="E4" s="90" t="s">
        <v>36</v>
      </c>
      <c r="F4" s="90" t="s">
        <v>39</v>
      </c>
      <c r="G4" s="90" t="s">
        <v>38</v>
      </c>
      <c r="H4" s="90" t="s">
        <v>37</v>
      </c>
      <c r="I4" s="90" t="s">
        <v>36</v>
      </c>
      <c r="J4" s="90" t="s">
        <v>39</v>
      </c>
      <c r="K4" s="90" t="s">
        <v>38</v>
      </c>
      <c r="L4" s="90" t="s">
        <v>37</v>
      </c>
      <c r="M4" s="90" t="s">
        <v>36</v>
      </c>
      <c r="N4" s="90" t="s">
        <v>39</v>
      </c>
      <c r="O4" s="90" t="s">
        <v>38</v>
      </c>
      <c r="P4" s="90" t="s">
        <v>37</v>
      </c>
      <c r="Q4" s="90" t="s">
        <v>36</v>
      </c>
      <c r="R4" s="90" t="s">
        <v>39</v>
      </c>
      <c r="S4" s="90" t="s">
        <v>38</v>
      </c>
      <c r="T4" s="90" t="s">
        <v>37</v>
      </c>
      <c r="U4" s="90" t="s">
        <v>36</v>
      </c>
      <c r="V4" s="90" t="s">
        <v>39</v>
      </c>
      <c r="W4" s="90" t="s">
        <v>38</v>
      </c>
      <c r="X4" s="90" t="s">
        <v>37</v>
      </c>
      <c r="Y4" s="90" t="s">
        <v>36</v>
      </c>
      <c r="Z4" s="90" t="s">
        <v>39</v>
      </c>
      <c r="AA4" s="90" t="s">
        <v>38</v>
      </c>
      <c r="AB4" s="90" t="s">
        <v>37</v>
      </c>
      <c r="AC4" s="90" t="s">
        <v>36</v>
      </c>
      <c r="AD4" s="90" t="s">
        <v>39</v>
      </c>
      <c r="AE4" s="90" t="s">
        <v>38</v>
      </c>
      <c r="AF4" s="90" t="s">
        <v>37</v>
      </c>
      <c r="AG4" s="90" t="s">
        <v>36</v>
      </c>
      <c r="AH4" s="90" t="s">
        <v>39</v>
      </c>
      <c r="AI4" s="90" t="s">
        <v>38</v>
      </c>
      <c r="AJ4" s="90" t="s">
        <v>37</v>
      </c>
      <c r="AK4" s="90" t="s">
        <v>36</v>
      </c>
      <c r="AL4" s="90" t="s">
        <v>39</v>
      </c>
      <c r="AM4" s="90" t="s">
        <v>38</v>
      </c>
      <c r="AN4" s="90" t="s">
        <v>37</v>
      </c>
      <c r="AO4" s="90" t="s">
        <v>36</v>
      </c>
      <c r="AP4" s="90" t="s">
        <v>39</v>
      </c>
      <c r="AQ4" s="90" t="s">
        <v>38</v>
      </c>
      <c r="AR4" s="90" t="s">
        <v>37</v>
      </c>
      <c r="AS4" s="90" t="s">
        <v>36</v>
      </c>
      <c r="AT4" s="90" t="s">
        <v>39</v>
      </c>
      <c r="AU4" s="90" t="s">
        <v>38</v>
      </c>
      <c r="AV4" s="90" t="s">
        <v>37</v>
      </c>
      <c r="AW4" s="90" t="s">
        <v>36</v>
      </c>
      <c r="AX4" s="90" t="s">
        <v>39</v>
      </c>
      <c r="AY4" s="90" t="s">
        <v>38</v>
      </c>
      <c r="AZ4" s="90" t="s">
        <v>37</v>
      </c>
      <c r="BA4" s="90" t="s">
        <v>36</v>
      </c>
      <c r="BB4" s="90" t="s">
        <v>39</v>
      </c>
      <c r="BC4" s="90" t="s">
        <v>38</v>
      </c>
      <c r="BD4" s="90" t="s">
        <v>37</v>
      </c>
      <c r="BE4" s="90" t="s">
        <v>36</v>
      </c>
      <c r="BF4" s="90" t="s">
        <v>39</v>
      </c>
      <c r="BG4" s="90" t="s">
        <v>38</v>
      </c>
      <c r="BH4" s="90" t="s">
        <v>37</v>
      </c>
      <c r="BI4" s="90" t="s">
        <v>36</v>
      </c>
    </row>
    <row r="5" spans="1:61" ht="16" customHeight="1" x14ac:dyDescent="0.15">
      <c r="A5" s="84">
        <v>1</v>
      </c>
      <c r="B5" s="83">
        <v>9.5</v>
      </c>
      <c r="C5" s="82">
        <v>26141026</v>
      </c>
      <c r="D5" s="82">
        <v>20359334</v>
      </c>
      <c r="E5" s="81">
        <v>0.84239003967803405</v>
      </c>
      <c r="F5" s="83">
        <v>9.9</v>
      </c>
      <c r="G5" s="82">
        <v>26975662</v>
      </c>
      <c r="H5" s="82">
        <v>21432131</v>
      </c>
      <c r="I5" s="81">
        <v>0.84028157101896295</v>
      </c>
      <c r="J5" s="83">
        <v>9</v>
      </c>
      <c r="K5" s="82">
        <v>25493316</v>
      </c>
      <c r="L5" s="82">
        <v>20047922</v>
      </c>
      <c r="M5" s="81">
        <v>0.84773316124892095</v>
      </c>
      <c r="N5" s="83">
        <v>9.3000000000000007</v>
      </c>
      <c r="O5" s="82">
        <v>35690085</v>
      </c>
      <c r="P5" s="82">
        <v>19690303</v>
      </c>
      <c r="Q5" s="81">
        <v>0.82006880308864205</v>
      </c>
      <c r="R5" s="83">
        <v>8.6999999999999993</v>
      </c>
      <c r="S5" s="82">
        <v>30984761</v>
      </c>
      <c r="T5" s="82">
        <v>22498332</v>
      </c>
      <c r="U5" s="81">
        <v>0.80995572021796103</v>
      </c>
      <c r="V5" s="83">
        <v>9</v>
      </c>
      <c r="W5" s="82">
        <v>26299963</v>
      </c>
      <c r="X5" s="82">
        <v>19213459</v>
      </c>
      <c r="Y5" s="81">
        <v>0.80302826330322097</v>
      </c>
      <c r="Z5" s="83">
        <v>9.6999999999999993</v>
      </c>
      <c r="AA5" s="82">
        <v>33700886</v>
      </c>
      <c r="AB5" s="82">
        <v>26071481</v>
      </c>
      <c r="AC5" s="81">
        <v>0.83268432146726001</v>
      </c>
      <c r="AD5" s="83">
        <v>9</v>
      </c>
      <c r="AE5" s="82">
        <v>20666332</v>
      </c>
      <c r="AF5" s="82">
        <v>16435281</v>
      </c>
      <c r="AG5" s="81">
        <v>0.83087950441096703</v>
      </c>
      <c r="AH5" s="83">
        <v>8.4</v>
      </c>
      <c r="AI5" s="82">
        <v>23324547</v>
      </c>
      <c r="AJ5" s="82">
        <v>17820573</v>
      </c>
      <c r="AK5" s="81">
        <v>0.80269307931451706</v>
      </c>
      <c r="AL5" s="83">
        <v>9</v>
      </c>
      <c r="AM5" s="82">
        <v>39342432</v>
      </c>
      <c r="AN5" s="82">
        <v>28982328</v>
      </c>
      <c r="AO5" s="81">
        <v>0.79568340461009601</v>
      </c>
      <c r="AP5" s="83">
        <v>9.1</v>
      </c>
      <c r="AQ5" s="82">
        <v>20561332</v>
      </c>
      <c r="AR5" s="82">
        <v>15926539</v>
      </c>
      <c r="AS5" s="81">
        <v>0.812823901991229</v>
      </c>
      <c r="AT5" s="83">
        <v>8.9</v>
      </c>
      <c r="AU5" s="82">
        <v>24868080</v>
      </c>
      <c r="AV5" s="82">
        <v>18414729</v>
      </c>
      <c r="AW5" s="81">
        <v>0.81248267961304699</v>
      </c>
      <c r="AX5" s="83">
        <v>8.8000000000000007</v>
      </c>
      <c r="AY5" s="82">
        <v>24769439</v>
      </c>
      <c r="AZ5" s="82">
        <v>18466324</v>
      </c>
      <c r="BA5" s="81">
        <v>0.80484730463040599</v>
      </c>
      <c r="BB5" s="83">
        <v>8.9</v>
      </c>
      <c r="BC5" s="82">
        <v>25888954</v>
      </c>
      <c r="BD5" s="82">
        <v>19679688</v>
      </c>
      <c r="BE5" s="81">
        <v>0.82506510382548304</v>
      </c>
      <c r="BF5" s="83">
        <v>8.9</v>
      </c>
      <c r="BG5" s="82">
        <v>33059060</v>
      </c>
      <c r="BH5" s="82">
        <v>24231409</v>
      </c>
      <c r="BI5" s="81">
        <v>0.77700312857845999</v>
      </c>
    </row>
    <row r="6" spans="1:61" ht="16" customHeight="1" x14ac:dyDescent="0.15">
      <c r="A6" s="58">
        <v>2</v>
      </c>
      <c r="B6" s="77">
        <v>9.6</v>
      </c>
      <c r="C6" s="76">
        <v>25295924</v>
      </c>
      <c r="D6" s="76">
        <v>19692448</v>
      </c>
      <c r="E6" s="75">
        <v>0.84012279199746198</v>
      </c>
      <c r="F6" s="77">
        <v>9.6999999999999993</v>
      </c>
      <c r="G6" s="76">
        <v>22593574</v>
      </c>
      <c r="H6" s="76">
        <v>17960287</v>
      </c>
      <c r="I6" s="75">
        <v>0.839959813522548</v>
      </c>
      <c r="J6" s="77">
        <v>8.9</v>
      </c>
      <c r="K6" s="76">
        <v>27364818</v>
      </c>
      <c r="L6" s="76">
        <v>21721863</v>
      </c>
      <c r="M6" s="75">
        <v>0.84814477604807204</v>
      </c>
      <c r="N6" s="77">
        <v>9.1999999999999993</v>
      </c>
      <c r="O6" s="76">
        <v>34700670</v>
      </c>
      <c r="P6" s="76">
        <v>18909314</v>
      </c>
      <c r="Q6" s="75">
        <v>0.80844229066730899</v>
      </c>
      <c r="R6" s="77">
        <v>8.5</v>
      </c>
      <c r="S6" s="76">
        <v>23323556</v>
      </c>
      <c r="T6" s="76">
        <v>18083870</v>
      </c>
      <c r="U6" s="75">
        <v>0.81781720107512701</v>
      </c>
      <c r="V6" s="77">
        <v>8.9</v>
      </c>
      <c r="W6" s="76">
        <v>24219157</v>
      </c>
      <c r="X6" s="76">
        <v>17818041</v>
      </c>
      <c r="Y6" s="75">
        <v>0.80639186046637901</v>
      </c>
      <c r="Z6" s="77">
        <v>9.3000000000000007</v>
      </c>
      <c r="AA6" s="76">
        <v>33303131</v>
      </c>
      <c r="AB6" s="76">
        <v>25966246</v>
      </c>
      <c r="AC6" s="75">
        <v>0.83485378317227099</v>
      </c>
      <c r="AD6" s="77">
        <v>9.1</v>
      </c>
      <c r="AE6" s="76">
        <v>26448201</v>
      </c>
      <c r="AF6" s="76">
        <v>20229946</v>
      </c>
      <c r="AG6" s="75">
        <v>0.83142246077128301</v>
      </c>
      <c r="AH6" s="77">
        <v>7.7</v>
      </c>
      <c r="AI6" s="76">
        <v>23623015</v>
      </c>
      <c r="AJ6" s="76">
        <v>18477817</v>
      </c>
      <c r="AK6" s="75">
        <v>0.81878222064906103</v>
      </c>
      <c r="AL6" s="77">
        <v>8.4</v>
      </c>
      <c r="AM6" s="76">
        <v>23141463</v>
      </c>
      <c r="AN6" s="76">
        <v>18074438</v>
      </c>
      <c r="AO6" s="75">
        <v>0.82033839840910705</v>
      </c>
      <c r="AP6" s="77">
        <v>8.6999999999999993</v>
      </c>
      <c r="AQ6" s="76">
        <v>34694590</v>
      </c>
      <c r="AR6" s="76">
        <v>25674754</v>
      </c>
      <c r="AS6" s="75">
        <v>0.79566624104700301</v>
      </c>
      <c r="AT6" s="77">
        <v>9.1</v>
      </c>
      <c r="AU6" s="76">
        <v>28111127</v>
      </c>
      <c r="AV6" s="76">
        <v>20768417</v>
      </c>
      <c r="AW6" s="75">
        <v>0.80933081866992995</v>
      </c>
      <c r="AX6" s="77">
        <v>9.3000000000000007</v>
      </c>
      <c r="AY6" s="76">
        <v>25954620</v>
      </c>
      <c r="AZ6" s="76">
        <v>19627054</v>
      </c>
      <c r="BA6" s="75">
        <v>0.81537974710626604</v>
      </c>
      <c r="BB6" s="77">
        <v>9</v>
      </c>
      <c r="BC6" s="76">
        <v>34050166</v>
      </c>
      <c r="BD6" s="76">
        <v>26625462</v>
      </c>
      <c r="BE6" s="75">
        <v>0.82666728679867696</v>
      </c>
      <c r="BF6" s="77">
        <v>9.1</v>
      </c>
      <c r="BG6" s="76">
        <v>28117983</v>
      </c>
      <c r="BH6" s="76">
        <v>20689672</v>
      </c>
      <c r="BI6" s="75">
        <v>0.78246816913274098</v>
      </c>
    </row>
    <row r="7" spans="1:61" ht="16" customHeight="1" x14ac:dyDescent="0.15">
      <c r="A7" s="58">
        <v>3</v>
      </c>
      <c r="B7" s="77">
        <v>9.3000000000000007</v>
      </c>
      <c r="C7" s="76">
        <v>40196992</v>
      </c>
      <c r="D7" s="76">
        <v>22457410</v>
      </c>
      <c r="E7" s="75">
        <v>0.84091089165856503</v>
      </c>
      <c r="F7" s="77">
        <v>9.1</v>
      </c>
      <c r="G7" s="76">
        <v>27935898</v>
      </c>
      <c r="H7" s="76">
        <v>19540765</v>
      </c>
      <c r="I7" s="75">
        <v>0.83825693482459995</v>
      </c>
      <c r="J7" s="77">
        <v>9.1</v>
      </c>
      <c r="K7" s="76">
        <v>33526734</v>
      </c>
      <c r="L7" s="76">
        <v>20297898</v>
      </c>
      <c r="M7" s="75">
        <v>0.84318044376488199</v>
      </c>
      <c r="N7" s="77">
        <v>9.1</v>
      </c>
      <c r="O7" s="76">
        <v>68157744</v>
      </c>
      <c r="P7" s="76">
        <v>33486542</v>
      </c>
      <c r="Q7" s="75">
        <v>0.82490663354021099</v>
      </c>
      <c r="R7" s="77">
        <v>8.8000000000000007</v>
      </c>
      <c r="S7" s="76">
        <v>41649415</v>
      </c>
      <c r="T7" s="76">
        <v>24955065</v>
      </c>
      <c r="U7" s="75">
        <v>0.81621584936269598</v>
      </c>
      <c r="V7" s="77" t="s">
        <v>22</v>
      </c>
      <c r="W7" s="76">
        <v>30890237</v>
      </c>
      <c r="X7" s="76">
        <v>17222634</v>
      </c>
      <c r="Y7" s="75">
        <v>0.80429570186506905</v>
      </c>
      <c r="Z7" s="77">
        <v>9.6</v>
      </c>
      <c r="AA7" s="76">
        <v>53109154</v>
      </c>
      <c r="AB7" s="76">
        <v>32644666</v>
      </c>
      <c r="AC7" s="75">
        <v>0.82553960673313398</v>
      </c>
      <c r="AD7" s="77">
        <v>9.1999999999999993</v>
      </c>
      <c r="AE7" s="76">
        <v>32496754</v>
      </c>
      <c r="AF7" s="76">
        <v>25898744</v>
      </c>
      <c r="AG7" s="75">
        <v>0.83102095618827898</v>
      </c>
      <c r="AH7" s="80">
        <v>9.6</v>
      </c>
      <c r="AI7" s="76">
        <v>25988391</v>
      </c>
      <c r="AJ7" s="76">
        <v>17465927</v>
      </c>
      <c r="AK7" s="75">
        <v>0.79748419304933005</v>
      </c>
      <c r="AL7" s="77">
        <v>8.4</v>
      </c>
      <c r="AM7" s="76">
        <v>50352291</v>
      </c>
      <c r="AN7" s="76">
        <v>36224163</v>
      </c>
      <c r="AO7" s="75">
        <v>0.82978418400986198</v>
      </c>
      <c r="AP7" s="77">
        <v>9</v>
      </c>
      <c r="AQ7" s="76">
        <v>26762337</v>
      </c>
      <c r="AR7" s="76">
        <v>20443463</v>
      </c>
      <c r="AS7" s="75">
        <v>0.80899794440901596</v>
      </c>
      <c r="AT7" s="77" t="s">
        <v>22</v>
      </c>
      <c r="AU7" s="76">
        <v>31102470</v>
      </c>
      <c r="AV7" s="76">
        <v>17397156</v>
      </c>
      <c r="AW7" s="75">
        <v>0.81865660112845295</v>
      </c>
      <c r="AX7" s="77">
        <v>9.3000000000000007</v>
      </c>
      <c r="AY7" s="76">
        <v>43118391</v>
      </c>
      <c r="AZ7" s="76">
        <v>22167676</v>
      </c>
      <c r="BA7" s="75">
        <v>0.80910450043216997</v>
      </c>
      <c r="BB7" s="77">
        <v>8.9</v>
      </c>
      <c r="BC7" s="76">
        <v>33223993</v>
      </c>
      <c r="BD7" s="76">
        <v>18988906</v>
      </c>
      <c r="BE7" s="75">
        <v>0.82236887322087504</v>
      </c>
      <c r="BF7" s="77">
        <v>9.4</v>
      </c>
      <c r="BG7" s="76">
        <v>25486995</v>
      </c>
      <c r="BH7" s="76">
        <v>18907302</v>
      </c>
      <c r="BI7" s="75">
        <v>0.79966978356815899</v>
      </c>
    </row>
    <row r="8" spans="1:61" ht="16" customHeight="1" x14ac:dyDescent="0.15">
      <c r="A8" s="58">
        <v>4</v>
      </c>
      <c r="B8" s="77">
        <v>9.5</v>
      </c>
      <c r="C8" s="76">
        <v>26248362</v>
      </c>
      <c r="D8" s="76">
        <v>20453431</v>
      </c>
      <c r="E8" s="75">
        <v>0.84021820811807102</v>
      </c>
      <c r="F8" s="77">
        <v>9.1999999999999993</v>
      </c>
      <c r="G8" s="76">
        <v>27174794</v>
      </c>
      <c r="H8" s="76">
        <v>21317812</v>
      </c>
      <c r="I8" s="75">
        <v>0.82647186601841705</v>
      </c>
      <c r="J8" s="77">
        <v>9.1</v>
      </c>
      <c r="K8" s="76">
        <v>32527245</v>
      </c>
      <c r="L8" s="76">
        <v>25804996</v>
      </c>
      <c r="M8" s="75">
        <v>0.84594834118372197</v>
      </c>
      <c r="N8" s="77">
        <v>9.3000000000000007</v>
      </c>
      <c r="O8" s="76">
        <v>35579293</v>
      </c>
      <c r="P8" s="76">
        <v>19061055</v>
      </c>
      <c r="Q8" s="75">
        <v>0.81311299503618994</v>
      </c>
      <c r="R8" s="77">
        <v>8.8000000000000007</v>
      </c>
      <c r="S8" s="76">
        <v>26412486</v>
      </c>
      <c r="T8" s="76">
        <v>20695060</v>
      </c>
      <c r="U8" s="75">
        <v>0.822828042439117</v>
      </c>
      <c r="V8" s="77">
        <v>9.1999999999999993</v>
      </c>
      <c r="W8" s="76">
        <v>28326764</v>
      </c>
      <c r="X8" s="76">
        <v>20521855</v>
      </c>
      <c r="Y8" s="75">
        <v>0.80047705212042697</v>
      </c>
      <c r="Z8" s="77">
        <v>9.6</v>
      </c>
      <c r="AA8" s="76">
        <v>31207675</v>
      </c>
      <c r="AB8" s="76">
        <v>24000465</v>
      </c>
      <c r="AC8" s="75">
        <v>0.82929104970767498</v>
      </c>
      <c r="AD8" s="77">
        <v>9</v>
      </c>
      <c r="AE8" s="76">
        <v>27244593</v>
      </c>
      <c r="AF8" s="76">
        <v>21635841</v>
      </c>
      <c r="AG8" s="75">
        <v>0.82737156927567002</v>
      </c>
      <c r="AH8" s="80">
        <v>10</v>
      </c>
      <c r="AI8" s="76">
        <v>24279049</v>
      </c>
      <c r="AJ8" s="76">
        <v>18252222</v>
      </c>
      <c r="AK8" s="75">
        <v>0.78389155937893495</v>
      </c>
      <c r="AL8" s="77">
        <v>8.5</v>
      </c>
      <c r="AM8" s="76">
        <v>22447083</v>
      </c>
      <c r="AN8" s="76">
        <v>17534907</v>
      </c>
      <c r="AO8" s="75">
        <v>0.81776804151140403</v>
      </c>
      <c r="AP8" s="77">
        <v>8.4</v>
      </c>
      <c r="AQ8" s="76">
        <v>24377689</v>
      </c>
      <c r="AR8" s="76">
        <v>17492875</v>
      </c>
      <c r="AS8" s="75">
        <v>0.77432673971232102</v>
      </c>
      <c r="AT8" s="77">
        <v>8.4</v>
      </c>
      <c r="AU8" s="76">
        <v>37013975</v>
      </c>
      <c r="AV8" s="76">
        <v>26905988</v>
      </c>
      <c r="AW8" s="75">
        <v>0.79644677895803595</v>
      </c>
      <c r="AX8" s="77">
        <v>8.3000000000000007</v>
      </c>
      <c r="AY8" s="76">
        <v>28997542</v>
      </c>
      <c r="AZ8" s="76">
        <v>21570147</v>
      </c>
      <c r="BA8" s="75">
        <v>0.80171783508222705</v>
      </c>
      <c r="BB8" s="77">
        <v>8.1999999999999993</v>
      </c>
      <c r="BC8" s="76">
        <v>32267633</v>
      </c>
      <c r="BD8" s="76">
        <v>23106189</v>
      </c>
      <c r="BE8" s="75">
        <v>0.78047793597194604</v>
      </c>
      <c r="BF8" s="77">
        <v>8.9</v>
      </c>
      <c r="BG8" s="76">
        <v>22784248</v>
      </c>
      <c r="BH8" s="76">
        <v>17509840</v>
      </c>
      <c r="BI8" s="75">
        <v>0.80532355468741901</v>
      </c>
    </row>
    <row r="9" spans="1:61" ht="16" customHeight="1" x14ac:dyDescent="0.15">
      <c r="A9" s="58">
        <v>5</v>
      </c>
      <c r="B9" s="77">
        <v>9</v>
      </c>
      <c r="C9" s="76">
        <v>24528222</v>
      </c>
      <c r="D9" s="76">
        <v>19056796</v>
      </c>
      <c r="E9" s="75">
        <v>0.83957714852458099</v>
      </c>
      <c r="F9" s="77">
        <v>9.1999999999999993</v>
      </c>
      <c r="G9" s="76">
        <v>22444578</v>
      </c>
      <c r="H9" s="76">
        <v>17458128</v>
      </c>
      <c r="I9" s="75">
        <v>0.82078966269591003</v>
      </c>
      <c r="J9" s="77">
        <v>9</v>
      </c>
      <c r="K9" s="76">
        <v>26518929</v>
      </c>
      <c r="L9" s="76">
        <v>20759404</v>
      </c>
      <c r="M9" s="75">
        <v>0.83606726990625202</v>
      </c>
      <c r="N9" s="77">
        <v>9.3000000000000007</v>
      </c>
      <c r="O9" s="76">
        <v>31872906</v>
      </c>
      <c r="P9" s="76">
        <v>18193531</v>
      </c>
      <c r="Q9" s="75">
        <v>0.79779025608745102</v>
      </c>
      <c r="R9" s="77">
        <v>8.9</v>
      </c>
      <c r="S9" s="76">
        <v>26145432</v>
      </c>
      <c r="T9" s="76">
        <v>20107812</v>
      </c>
      <c r="U9" s="75">
        <v>0.80836227800935301</v>
      </c>
      <c r="V9" s="77">
        <v>8.8000000000000007</v>
      </c>
      <c r="W9" s="76">
        <v>29988084</v>
      </c>
      <c r="X9" s="76">
        <v>21530837</v>
      </c>
      <c r="Y9" s="75">
        <v>0.80059527317624801</v>
      </c>
      <c r="Z9" s="77">
        <v>9.4</v>
      </c>
      <c r="AA9" s="76">
        <v>27358501</v>
      </c>
      <c r="AB9" s="76">
        <v>21398238</v>
      </c>
      <c r="AC9" s="75">
        <v>0.82309931487879895</v>
      </c>
      <c r="AD9" s="77">
        <v>8.9</v>
      </c>
      <c r="AE9" s="76">
        <v>23359394</v>
      </c>
      <c r="AF9" s="76">
        <v>18387609</v>
      </c>
      <c r="AG9" s="75">
        <v>0.83055800248449996</v>
      </c>
      <c r="AH9" s="80" t="s">
        <v>22</v>
      </c>
      <c r="AI9" s="76">
        <v>28973428</v>
      </c>
      <c r="AJ9" s="76">
        <v>21280607</v>
      </c>
      <c r="AK9" s="75">
        <v>0.76574014392265599</v>
      </c>
      <c r="AL9" s="77">
        <v>7.7</v>
      </c>
      <c r="AM9" s="76">
        <v>22788635</v>
      </c>
      <c r="AN9" s="76">
        <v>17434816</v>
      </c>
      <c r="AO9" s="75">
        <v>0.80518400807788004</v>
      </c>
      <c r="AP9" s="77">
        <v>8.5</v>
      </c>
      <c r="AQ9" s="76">
        <v>24883420</v>
      </c>
      <c r="AR9" s="76">
        <v>18503718</v>
      </c>
      <c r="AS9" s="75">
        <v>0.80563965057938902</v>
      </c>
      <c r="AT9" s="77">
        <v>8.6</v>
      </c>
      <c r="AU9" s="76">
        <v>52715500</v>
      </c>
      <c r="AV9" s="76">
        <v>38634533</v>
      </c>
      <c r="AW9" s="75">
        <v>0.80386947723445701</v>
      </c>
      <c r="AX9" s="77">
        <v>8.9</v>
      </c>
      <c r="AY9" s="76">
        <v>26043008</v>
      </c>
      <c r="AZ9" s="76">
        <v>19250502</v>
      </c>
      <c r="BA9" s="75">
        <v>0.79765744269985495</v>
      </c>
      <c r="BB9" s="77">
        <v>8.6999999999999993</v>
      </c>
      <c r="BC9" s="76">
        <v>26809637</v>
      </c>
      <c r="BD9" s="76">
        <v>20482439</v>
      </c>
      <c r="BE9" s="75">
        <v>0.80753847543457302</v>
      </c>
      <c r="BF9" s="77">
        <v>8.8000000000000007</v>
      </c>
      <c r="BG9" s="76">
        <v>34750461</v>
      </c>
      <c r="BH9" s="76">
        <v>23213028</v>
      </c>
      <c r="BI9" s="75">
        <v>0.79916784463421897</v>
      </c>
    </row>
    <row r="10" spans="1:61" ht="16" customHeight="1" x14ac:dyDescent="0.15">
      <c r="A10" s="58">
        <v>6</v>
      </c>
      <c r="B10" s="77">
        <v>9.5</v>
      </c>
      <c r="C10" s="76">
        <v>24566147</v>
      </c>
      <c r="D10" s="76">
        <v>18953574</v>
      </c>
      <c r="E10" s="75">
        <v>0.83632551240650199</v>
      </c>
      <c r="F10" s="77">
        <v>9.1</v>
      </c>
      <c r="G10" s="76">
        <v>27954792</v>
      </c>
      <c r="H10" s="76">
        <v>22018299</v>
      </c>
      <c r="I10" s="75">
        <v>0.83150434192468503</v>
      </c>
      <c r="J10" s="77">
        <v>8.9</v>
      </c>
      <c r="K10" s="76">
        <v>24572107</v>
      </c>
      <c r="L10" s="76">
        <v>18903518</v>
      </c>
      <c r="M10" s="75">
        <v>0.82751722524263305</v>
      </c>
      <c r="N10" s="77">
        <v>9.5</v>
      </c>
      <c r="O10" s="76">
        <v>37272946</v>
      </c>
      <c r="P10" s="76">
        <v>18379819</v>
      </c>
      <c r="Q10" s="75">
        <v>0.81115542107170402</v>
      </c>
      <c r="R10" s="77">
        <v>8.9</v>
      </c>
      <c r="S10" s="76">
        <v>24922320</v>
      </c>
      <c r="T10" s="76">
        <v>19671424</v>
      </c>
      <c r="U10" s="75">
        <v>0.82387605076903703</v>
      </c>
      <c r="V10" s="77">
        <v>8.8000000000000007</v>
      </c>
      <c r="W10" s="76">
        <v>24388808</v>
      </c>
      <c r="X10" s="76">
        <v>17730996</v>
      </c>
      <c r="Y10" s="75">
        <v>0.80990245403102501</v>
      </c>
      <c r="Z10" s="77">
        <v>9.1</v>
      </c>
      <c r="AA10" s="76">
        <v>28824542</v>
      </c>
      <c r="AB10" s="76">
        <v>22876287</v>
      </c>
      <c r="AC10" s="75">
        <v>0.83305864883631797</v>
      </c>
      <c r="AD10" s="77">
        <v>9.1</v>
      </c>
      <c r="AE10" s="76">
        <v>26328077</v>
      </c>
      <c r="AF10" s="76">
        <v>20516701</v>
      </c>
      <c r="AG10" s="75">
        <v>0.83402728894781697</v>
      </c>
      <c r="AH10" s="80">
        <v>9</v>
      </c>
      <c r="AI10" s="76">
        <v>23557197</v>
      </c>
      <c r="AJ10" s="76">
        <v>18288317</v>
      </c>
      <c r="AK10" s="75">
        <v>0.81111762735884996</v>
      </c>
      <c r="AL10" s="77">
        <v>9.1</v>
      </c>
      <c r="AM10" s="76">
        <v>21787960</v>
      </c>
      <c r="AN10" s="76">
        <v>17111160</v>
      </c>
      <c r="AO10" s="75">
        <v>0.82273676780610305</v>
      </c>
      <c r="AP10" s="77">
        <v>8.9</v>
      </c>
      <c r="AQ10" s="76">
        <v>30796557</v>
      </c>
      <c r="AR10" s="76">
        <v>23318127</v>
      </c>
      <c r="AS10" s="75">
        <v>0.80999837118892004</v>
      </c>
      <c r="AT10" s="77">
        <v>9</v>
      </c>
      <c r="AU10" s="76">
        <v>40581910</v>
      </c>
      <c r="AV10" s="76">
        <v>29842186</v>
      </c>
      <c r="AW10" s="75">
        <v>0.80852139719494498</v>
      </c>
      <c r="AX10" s="77">
        <v>9.1</v>
      </c>
      <c r="AY10" s="76">
        <v>26627914</v>
      </c>
      <c r="AZ10" s="76">
        <v>19887627</v>
      </c>
      <c r="BA10" s="75">
        <v>0.80721853124060905</v>
      </c>
      <c r="BB10" s="77">
        <v>8.6</v>
      </c>
      <c r="BC10" s="76">
        <v>27165355</v>
      </c>
      <c r="BD10" s="76">
        <v>20404636</v>
      </c>
      <c r="BE10" s="75">
        <v>0.81563139790403205</v>
      </c>
      <c r="BF10" s="77">
        <v>9.4</v>
      </c>
      <c r="BG10" s="76">
        <v>24911168</v>
      </c>
      <c r="BH10" s="76">
        <v>19274390</v>
      </c>
      <c r="BI10" s="75">
        <v>0.81120644251716501</v>
      </c>
    </row>
    <row r="11" spans="1:61" ht="16" customHeight="1" x14ac:dyDescent="0.15">
      <c r="A11" s="58">
        <v>7</v>
      </c>
      <c r="B11" s="77">
        <v>9.6</v>
      </c>
      <c r="C11" s="76">
        <v>26075349</v>
      </c>
      <c r="D11" s="76">
        <v>20296517</v>
      </c>
      <c r="E11" s="75">
        <v>0.84258587734842605</v>
      </c>
      <c r="F11" s="77">
        <v>9.5</v>
      </c>
      <c r="G11" s="76">
        <v>25954252</v>
      </c>
      <c r="H11" s="76">
        <v>20633772</v>
      </c>
      <c r="I11" s="75">
        <v>0.83887444198926397</v>
      </c>
      <c r="J11" s="77">
        <v>8.1</v>
      </c>
      <c r="K11" s="76">
        <v>22623305</v>
      </c>
      <c r="L11" s="76">
        <v>17715447</v>
      </c>
      <c r="M11" s="75">
        <v>0.82837855594091203</v>
      </c>
      <c r="N11" s="77">
        <v>8.6999999999999993</v>
      </c>
      <c r="O11" s="76">
        <v>36208902</v>
      </c>
      <c r="P11" s="76">
        <v>18622491</v>
      </c>
      <c r="Q11" s="75">
        <v>0.80862217228521704</v>
      </c>
      <c r="R11" s="77">
        <v>8.9</v>
      </c>
      <c r="S11" s="76">
        <v>31846370</v>
      </c>
      <c r="T11" s="76">
        <v>24827589</v>
      </c>
      <c r="U11" s="75">
        <v>0.81369479398445799</v>
      </c>
      <c r="V11" s="77">
        <v>8.6</v>
      </c>
      <c r="W11" s="76">
        <v>23465138</v>
      </c>
      <c r="X11" s="76">
        <v>17126992</v>
      </c>
      <c r="Y11" s="75">
        <v>0.80760685187798698</v>
      </c>
      <c r="Z11" s="77">
        <v>8.6999999999999993</v>
      </c>
      <c r="AA11" s="76">
        <v>25493113</v>
      </c>
      <c r="AB11" s="76">
        <v>18456733</v>
      </c>
      <c r="AC11" s="75">
        <v>0.82519750681858495</v>
      </c>
      <c r="AD11" s="77">
        <v>8.8000000000000007</v>
      </c>
      <c r="AE11" s="76">
        <v>23067638</v>
      </c>
      <c r="AF11" s="76">
        <v>18577051</v>
      </c>
      <c r="AG11" s="75">
        <v>0.840474892120048</v>
      </c>
      <c r="AH11" s="80">
        <v>6.2</v>
      </c>
      <c r="AI11" s="76">
        <v>27523621</v>
      </c>
      <c r="AJ11" s="76">
        <v>21092052</v>
      </c>
      <c r="AK11" s="75">
        <v>0.797884106749155</v>
      </c>
      <c r="AL11" s="77">
        <v>8.6999999999999993</v>
      </c>
      <c r="AM11" s="76">
        <v>22711263</v>
      </c>
      <c r="AN11" s="76">
        <v>17959986</v>
      </c>
      <c r="AO11" s="75">
        <v>0.82926638494981897</v>
      </c>
      <c r="AP11" s="77">
        <v>8.6999999999999993</v>
      </c>
      <c r="AQ11" s="76">
        <v>29691518</v>
      </c>
      <c r="AR11" s="76">
        <v>22704919</v>
      </c>
      <c r="AS11" s="75">
        <v>0.81996226101653302</v>
      </c>
      <c r="AT11" s="77">
        <v>9.1999999999999993</v>
      </c>
      <c r="AU11" s="76">
        <v>26382089</v>
      </c>
      <c r="AV11" s="76">
        <v>19944731</v>
      </c>
      <c r="AW11" s="75">
        <v>0.82172686674801199</v>
      </c>
      <c r="AX11" s="77">
        <v>9.1</v>
      </c>
      <c r="AY11" s="76">
        <v>24895232</v>
      </c>
      <c r="AZ11" s="76">
        <v>18494030</v>
      </c>
      <c r="BA11" s="75">
        <v>0.80194466278593801</v>
      </c>
      <c r="BB11" s="77">
        <v>8.8000000000000007</v>
      </c>
      <c r="BC11" s="76">
        <v>27170455</v>
      </c>
      <c r="BD11" s="76">
        <v>20565714</v>
      </c>
      <c r="BE11" s="75">
        <v>0.81674220094869898</v>
      </c>
      <c r="BF11" s="77">
        <v>8.6</v>
      </c>
      <c r="BG11" s="76">
        <v>26204800</v>
      </c>
      <c r="BH11" s="76">
        <v>20322970</v>
      </c>
      <c r="BI11" s="75">
        <v>0.81351973075471395</v>
      </c>
    </row>
    <row r="12" spans="1:61" ht="16" customHeight="1" x14ac:dyDescent="0.15">
      <c r="A12" s="58">
        <v>8</v>
      </c>
      <c r="B12" s="80">
        <v>9.4</v>
      </c>
      <c r="C12" s="79">
        <v>23421568</v>
      </c>
      <c r="D12" s="79">
        <v>18151101</v>
      </c>
      <c r="E12" s="78">
        <v>0.84026320169005297</v>
      </c>
      <c r="F12" s="80">
        <v>9.1999999999999993</v>
      </c>
      <c r="G12" s="79">
        <v>25546669</v>
      </c>
      <c r="H12" s="79">
        <v>20266948</v>
      </c>
      <c r="I12" s="78">
        <v>0.83914445221286404</v>
      </c>
      <c r="J12" s="80">
        <v>9.1999999999999993</v>
      </c>
      <c r="K12" s="79">
        <v>26320669</v>
      </c>
      <c r="L12" s="79">
        <v>21017976</v>
      </c>
      <c r="M12" s="78">
        <v>0.84176073574569998</v>
      </c>
      <c r="N12" s="80">
        <v>9.1</v>
      </c>
      <c r="O12" s="79">
        <v>35852285</v>
      </c>
      <c r="P12" s="79">
        <v>19623757</v>
      </c>
      <c r="Q12" s="78">
        <v>0.80735097558037505</v>
      </c>
      <c r="R12" s="80">
        <v>8.8000000000000007</v>
      </c>
      <c r="S12" s="79">
        <v>23064754</v>
      </c>
      <c r="T12" s="79">
        <v>17821407</v>
      </c>
      <c r="U12" s="78">
        <v>0.812725186225697</v>
      </c>
      <c r="V12" s="80">
        <v>9</v>
      </c>
      <c r="W12" s="79">
        <v>27749866</v>
      </c>
      <c r="X12" s="79">
        <v>19914686</v>
      </c>
      <c r="Y12" s="78">
        <v>0.79199642679302296</v>
      </c>
      <c r="Z12" s="80">
        <v>8.4</v>
      </c>
      <c r="AA12" s="79">
        <v>40696584</v>
      </c>
      <c r="AB12" s="79">
        <v>29582726</v>
      </c>
      <c r="AC12" s="78">
        <v>0.82602883608127797</v>
      </c>
      <c r="AD12" s="80">
        <v>8.8000000000000007</v>
      </c>
      <c r="AE12" s="79">
        <v>26136022</v>
      </c>
      <c r="AF12" s="79">
        <v>20379322</v>
      </c>
      <c r="AG12" s="78">
        <v>0.833927748273113</v>
      </c>
      <c r="AH12" s="80">
        <v>8.9</v>
      </c>
      <c r="AI12" s="79">
        <v>23869179</v>
      </c>
      <c r="AJ12" s="79">
        <v>18542036</v>
      </c>
      <c r="AK12" s="78">
        <v>0.81229993724861504</v>
      </c>
      <c r="AL12" s="80">
        <v>8.8000000000000007</v>
      </c>
      <c r="AM12" s="79">
        <v>23150481</v>
      </c>
      <c r="AN12" s="79">
        <v>18190126</v>
      </c>
      <c r="AO12" s="78">
        <v>0.82608793983541895</v>
      </c>
      <c r="AP12" s="80">
        <v>8.6999999999999993</v>
      </c>
      <c r="AQ12" s="79">
        <v>23648332</v>
      </c>
      <c r="AR12" s="79">
        <v>17701061</v>
      </c>
      <c r="AS12" s="78">
        <v>0.81822032307873505</v>
      </c>
      <c r="AT12" s="80">
        <v>9.1999999999999993</v>
      </c>
      <c r="AU12" s="79">
        <v>29433790</v>
      </c>
      <c r="AV12" s="79">
        <v>22421957</v>
      </c>
      <c r="AW12" s="78">
        <v>0.82494204662473103</v>
      </c>
      <c r="AX12" s="80">
        <v>9.3000000000000007</v>
      </c>
      <c r="AY12" s="79">
        <v>29433712</v>
      </c>
      <c r="AZ12" s="79">
        <v>22132714</v>
      </c>
      <c r="BA12" s="78">
        <v>0.812439287888295</v>
      </c>
      <c r="BB12" s="80">
        <v>8.6999999999999993</v>
      </c>
      <c r="BC12" s="79">
        <v>41547538</v>
      </c>
      <c r="BD12" s="79">
        <v>30015760</v>
      </c>
      <c r="BE12" s="78">
        <v>0.81280844270360098</v>
      </c>
      <c r="BF12" s="80">
        <v>8.6</v>
      </c>
      <c r="BG12" s="79">
        <v>27758707</v>
      </c>
      <c r="BH12" s="79">
        <v>21580761</v>
      </c>
      <c r="BI12" s="78">
        <v>0.81583339167709901</v>
      </c>
    </row>
    <row r="13" spans="1:61" ht="16" customHeight="1" x14ac:dyDescent="0.15">
      <c r="A13" s="58">
        <v>9</v>
      </c>
      <c r="B13" s="77">
        <v>9.6999999999999993</v>
      </c>
      <c r="C13" s="76">
        <v>27971088</v>
      </c>
      <c r="D13" s="76">
        <v>21817149</v>
      </c>
      <c r="E13" s="75">
        <v>0.84593656600877398</v>
      </c>
      <c r="F13" s="77">
        <v>9.5</v>
      </c>
      <c r="G13" s="76">
        <v>34448009</v>
      </c>
      <c r="H13" s="76">
        <v>27399126</v>
      </c>
      <c r="I13" s="75">
        <v>0.83779189417213396</v>
      </c>
      <c r="J13" s="77">
        <v>8.4</v>
      </c>
      <c r="K13" s="76">
        <v>29347881</v>
      </c>
      <c r="L13" s="76">
        <v>23525789</v>
      </c>
      <c r="M13" s="75">
        <v>0.84324958601507904</v>
      </c>
      <c r="N13" s="77">
        <v>9.1</v>
      </c>
      <c r="O13" s="76">
        <v>36934327</v>
      </c>
      <c r="P13" s="76">
        <v>19518895</v>
      </c>
      <c r="Q13" s="75">
        <v>0.80981853519846103</v>
      </c>
      <c r="R13" s="77">
        <v>8.9</v>
      </c>
      <c r="S13" s="76">
        <v>23722500</v>
      </c>
      <c r="T13" s="76">
        <v>18638337</v>
      </c>
      <c r="U13" s="75">
        <v>0.82364333309057802</v>
      </c>
      <c r="V13" s="77">
        <v>9.4</v>
      </c>
      <c r="W13" s="76">
        <v>34074977</v>
      </c>
      <c r="X13" s="76">
        <v>24382973</v>
      </c>
      <c r="Y13" s="75">
        <v>0.80323162151438998</v>
      </c>
      <c r="Z13" s="77">
        <v>8.6999999999999993</v>
      </c>
      <c r="AA13" s="76">
        <v>22894118</v>
      </c>
      <c r="AB13" s="76">
        <v>16901144</v>
      </c>
      <c r="AC13" s="75">
        <v>0.81146950348725799</v>
      </c>
      <c r="AD13" s="77">
        <v>9</v>
      </c>
      <c r="AE13" s="76">
        <v>26016067</v>
      </c>
      <c r="AF13" s="76">
        <v>20011821</v>
      </c>
      <c r="AG13" s="75">
        <v>0.82423982842214605</v>
      </c>
      <c r="AH13" s="80">
        <v>8.1</v>
      </c>
      <c r="AI13" s="76">
        <v>30098123</v>
      </c>
      <c r="AJ13" s="76">
        <v>23219780</v>
      </c>
      <c r="AK13" s="75">
        <v>0.80077888037084799</v>
      </c>
      <c r="AL13" s="77">
        <v>8.9</v>
      </c>
      <c r="AM13" s="76">
        <v>23201357</v>
      </c>
      <c r="AN13" s="76">
        <v>17438585</v>
      </c>
      <c r="AO13" s="75">
        <v>0.80849426448707196</v>
      </c>
      <c r="AP13" s="77">
        <v>8.8000000000000007</v>
      </c>
      <c r="AQ13" s="76">
        <v>28291840</v>
      </c>
      <c r="AR13" s="76">
        <v>20842534</v>
      </c>
      <c r="AS13" s="75">
        <v>0.78607383790623797</v>
      </c>
      <c r="AT13" s="77">
        <v>9</v>
      </c>
      <c r="AU13" s="76">
        <v>28895112</v>
      </c>
      <c r="AV13" s="76">
        <v>21573888</v>
      </c>
      <c r="AW13" s="75">
        <v>0.81290162283120704</v>
      </c>
      <c r="AX13" s="77">
        <v>9.3000000000000007</v>
      </c>
      <c r="AY13" s="76">
        <v>30361587</v>
      </c>
      <c r="AZ13" s="76">
        <v>22664110</v>
      </c>
      <c r="BA13" s="75">
        <v>0.80767445232693003</v>
      </c>
      <c r="BB13" s="77">
        <v>8.9</v>
      </c>
      <c r="BC13" s="76">
        <v>27177397</v>
      </c>
      <c r="BD13" s="76">
        <v>20500708</v>
      </c>
      <c r="BE13" s="75">
        <v>0.81884021560077203</v>
      </c>
      <c r="BF13" s="77">
        <v>7.9</v>
      </c>
      <c r="BG13" s="76">
        <v>24444687</v>
      </c>
      <c r="BH13" s="76">
        <v>18870864</v>
      </c>
      <c r="BI13" s="75">
        <v>0.81055161890715999</v>
      </c>
    </row>
    <row r="14" spans="1:61" ht="16" customHeight="1" x14ac:dyDescent="0.15">
      <c r="A14" s="58">
        <v>10</v>
      </c>
      <c r="B14" s="77">
        <v>9.5</v>
      </c>
      <c r="C14" s="76">
        <v>31671677</v>
      </c>
      <c r="D14" s="76">
        <v>24954463</v>
      </c>
      <c r="E14" s="75">
        <v>0.824832702115878</v>
      </c>
      <c r="F14" s="77">
        <v>9.3000000000000007</v>
      </c>
      <c r="G14" s="76">
        <v>35553413</v>
      </c>
      <c r="H14" s="76">
        <v>28105467</v>
      </c>
      <c r="I14" s="75">
        <v>0.83155319899309899</v>
      </c>
      <c r="J14" s="77">
        <v>8.5</v>
      </c>
      <c r="K14" s="76">
        <v>24855765</v>
      </c>
      <c r="L14" s="76">
        <v>19790692</v>
      </c>
      <c r="M14" s="75">
        <v>0.83557448613754803</v>
      </c>
      <c r="N14" s="77">
        <v>9.1</v>
      </c>
      <c r="O14" s="76">
        <v>21017513</v>
      </c>
      <c r="P14" s="76">
        <v>16641507</v>
      </c>
      <c r="Q14" s="75">
        <v>0.83071219282718001</v>
      </c>
      <c r="R14" s="77">
        <v>8.9</v>
      </c>
      <c r="S14" s="76">
        <v>23122732</v>
      </c>
      <c r="T14" s="76">
        <v>17828980</v>
      </c>
      <c r="U14" s="75">
        <v>0.81817335354760801</v>
      </c>
      <c r="V14" s="77">
        <v>8.9</v>
      </c>
      <c r="W14" s="76">
        <v>28003660</v>
      </c>
      <c r="X14" s="76">
        <v>20301763</v>
      </c>
      <c r="Y14" s="75">
        <v>0.80728178901013503</v>
      </c>
      <c r="Z14" s="77">
        <v>8.8000000000000007</v>
      </c>
      <c r="AA14" s="76">
        <v>26737836</v>
      </c>
      <c r="AB14" s="76">
        <v>19293239</v>
      </c>
      <c r="AC14" s="75">
        <v>0.82563903318623</v>
      </c>
      <c r="AD14" s="77">
        <v>8.3000000000000007</v>
      </c>
      <c r="AE14" s="76">
        <v>26577142</v>
      </c>
      <c r="AF14" s="76">
        <v>20713258</v>
      </c>
      <c r="AG14" s="75">
        <v>0.83432393213063005</v>
      </c>
      <c r="AH14" s="80">
        <v>9.1999999999999993</v>
      </c>
      <c r="AI14" s="76">
        <v>31305889</v>
      </c>
      <c r="AJ14" s="76">
        <v>24225383</v>
      </c>
      <c r="AK14" s="75">
        <v>0.80532689472055696</v>
      </c>
      <c r="AL14" s="77">
        <v>8.6</v>
      </c>
      <c r="AM14" s="76">
        <v>27780137</v>
      </c>
      <c r="AN14" s="76">
        <v>19862660</v>
      </c>
      <c r="AO14" s="75">
        <v>0.82087490487949699</v>
      </c>
      <c r="AP14" s="77">
        <v>8.8000000000000007</v>
      </c>
      <c r="AQ14" s="76">
        <v>36444674</v>
      </c>
      <c r="AR14" s="76">
        <v>26822778</v>
      </c>
      <c r="AS14" s="75">
        <v>0.808258582933161</v>
      </c>
      <c r="AT14" s="77">
        <v>9.1</v>
      </c>
      <c r="AU14" s="76">
        <v>26905397</v>
      </c>
      <c r="AV14" s="76">
        <v>20324328</v>
      </c>
      <c r="AW14" s="75">
        <v>0.82410052080009299</v>
      </c>
      <c r="AX14" s="77">
        <v>9</v>
      </c>
      <c r="AY14" s="76">
        <v>25535567</v>
      </c>
      <c r="AZ14" s="76">
        <v>19122460</v>
      </c>
      <c r="BA14" s="75">
        <v>0.80848013618601</v>
      </c>
      <c r="BB14" s="77">
        <v>8.8000000000000007</v>
      </c>
      <c r="BC14" s="76">
        <v>25338623</v>
      </c>
      <c r="BD14" s="76">
        <v>19215018</v>
      </c>
      <c r="BE14" s="75">
        <v>0.81511745146375703</v>
      </c>
      <c r="BF14" s="77">
        <v>8</v>
      </c>
      <c r="BG14" s="76">
        <v>22494242</v>
      </c>
      <c r="BH14" s="76">
        <v>17266196</v>
      </c>
      <c r="BI14" s="75">
        <v>0.80719743027459001</v>
      </c>
    </row>
    <row r="15" spans="1:61" ht="16" customHeight="1" x14ac:dyDescent="0.15">
      <c r="A15" s="58">
        <v>11</v>
      </c>
      <c r="B15" s="80">
        <v>9.6</v>
      </c>
      <c r="C15" s="79">
        <v>32455465</v>
      </c>
      <c r="D15" s="79">
        <v>25147791</v>
      </c>
      <c r="E15" s="78">
        <v>0.84042584157827904</v>
      </c>
      <c r="F15" s="80">
        <v>9.6</v>
      </c>
      <c r="G15" s="79">
        <v>33563873</v>
      </c>
      <c r="H15" s="79">
        <v>26611283</v>
      </c>
      <c r="I15" s="78">
        <v>0.83379448310963</v>
      </c>
      <c r="J15" s="80">
        <v>8.3000000000000007</v>
      </c>
      <c r="K15" s="79">
        <v>45048950</v>
      </c>
      <c r="L15" s="79">
        <v>35797309</v>
      </c>
      <c r="M15" s="78">
        <v>0.84047721845553403</v>
      </c>
      <c r="N15" s="80">
        <v>9.1999999999999993</v>
      </c>
      <c r="O15" s="79">
        <v>24531777</v>
      </c>
      <c r="P15" s="79">
        <v>17931015</v>
      </c>
      <c r="Q15" s="78">
        <v>0.82220172056490703</v>
      </c>
      <c r="R15" s="80">
        <v>8.6999999999999993</v>
      </c>
      <c r="S15" s="79">
        <v>23254912</v>
      </c>
      <c r="T15" s="79">
        <v>17961580</v>
      </c>
      <c r="U15" s="78">
        <v>0.813347580456252</v>
      </c>
      <c r="V15" s="80">
        <v>9.1999999999999993</v>
      </c>
      <c r="W15" s="79">
        <v>25219484</v>
      </c>
      <c r="X15" s="79">
        <v>18187120</v>
      </c>
      <c r="Y15" s="78">
        <v>0.801479892206579</v>
      </c>
      <c r="Z15" s="80">
        <v>9</v>
      </c>
      <c r="AA15" s="79">
        <v>28026462</v>
      </c>
      <c r="AB15" s="79">
        <v>20279790</v>
      </c>
      <c r="AC15" s="78">
        <v>0.83044469627399198</v>
      </c>
      <c r="AD15" s="80">
        <v>9.1</v>
      </c>
      <c r="AE15" s="79">
        <v>20756781</v>
      </c>
      <c r="AF15" s="79">
        <v>16594345</v>
      </c>
      <c r="AG15" s="78">
        <v>0.83647707216327305</v>
      </c>
      <c r="AH15" s="80">
        <v>6.8</v>
      </c>
      <c r="AI15" s="79">
        <v>23539133</v>
      </c>
      <c r="AJ15" s="79">
        <v>18216239</v>
      </c>
      <c r="AK15" s="78">
        <v>0.80953315889372901</v>
      </c>
      <c r="AL15" s="80">
        <v>9.1</v>
      </c>
      <c r="AM15" s="79">
        <v>33052972</v>
      </c>
      <c r="AN15" s="79">
        <v>23665583</v>
      </c>
      <c r="AO15" s="78">
        <v>0.76894288732517002</v>
      </c>
      <c r="AP15" s="80" t="s">
        <v>22</v>
      </c>
      <c r="AQ15" s="79" t="s">
        <v>22</v>
      </c>
      <c r="AR15" s="79" t="s">
        <v>22</v>
      </c>
      <c r="AS15" s="78" t="s">
        <v>22</v>
      </c>
      <c r="AT15" s="80">
        <v>9</v>
      </c>
      <c r="AU15" s="79">
        <v>24641277</v>
      </c>
      <c r="AV15" s="79">
        <v>18646793</v>
      </c>
      <c r="AW15" s="78">
        <v>0.83084999388674396</v>
      </c>
      <c r="AX15" s="80">
        <v>9.3000000000000007</v>
      </c>
      <c r="AY15" s="79">
        <v>29786124</v>
      </c>
      <c r="AZ15" s="79">
        <v>22195656</v>
      </c>
      <c r="BA15" s="78">
        <v>0.80782779651290004</v>
      </c>
      <c r="BB15" s="80">
        <v>9.3000000000000007</v>
      </c>
      <c r="BC15" s="79">
        <v>21667385</v>
      </c>
      <c r="BD15" s="79">
        <v>16702887</v>
      </c>
      <c r="BE15" s="78">
        <v>0.81784356455878904</v>
      </c>
      <c r="BF15" s="80">
        <v>9.1999999999999993</v>
      </c>
      <c r="BG15" s="79">
        <v>24768398</v>
      </c>
      <c r="BH15" s="79">
        <v>19026702</v>
      </c>
      <c r="BI15" s="78">
        <v>0.80848762557313603</v>
      </c>
    </row>
    <row r="16" spans="1:61" ht="16" customHeight="1" x14ac:dyDescent="0.15">
      <c r="A16" s="58">
        <v>12</v>
      </c>
      <c r="B16" s="77">
        <v>9.6</v>
      </c>
      <c r="C16" s="76">
        <v>35015571</v>
      </c>
      <c r="D16" s="76">
        <v>27754292</v>
      </c>
      <c r="E16" s="75">
        <v>0.83056116933068003</v>
      </c>
      <c r="F16" s="77">
        <v>9.6999999999999993</v>
      </c>
      <c r="G16" s="76">
        <v>37110668</v>
      </c>
      <c r="H16" s="76">
        <v>29465608</v>
      </c>
      <c r="I16" s="75">
        <v>0.83683480815620603</v>
      </c>
      <c r="J16" s="77">
        <v>9.6</v>
      </c>
      <c r="K16" s="76">
        <v>47100547</v>
      </c>
      <c r="L16" s="76">
        <v>35538427</v>
      </c>
      <c r="M16" s="75">
        <v>0.85549636813200003</v>
      </c>
      <c r="N16" s="77">
        <v>9.1999999999999993</v>
      </c>
      <c r="O16" s="76">
        <v>38354457</v>
      </c>
      <c r="P16" s="76">
        <v>18588969</v>
      </c>
      <c r="Q16" s="75">
        <v>0.82150760796242805</v>
      </c>
      <c r="R16" s="77">
        <v>8.4</v>
      </c>
      <c r="S16" s="76">
        <v>24331064</v>
      </c>
      <c r="T16" s="76">
        <v>18815002</v>
      </c>
      <c r="U16" s="75">
        <v>0.81293799649324106</v>
      </c>
      <c r="V16" s="77">
        <v>9</v>
      </c>
      <c r="W16" s="76">
        <v>30878880</v>
      </c>
      <c r="X16" s="76">
        <v>23813940</v>
      </c>
      <c r="Y16" s="75">
        <v>0.80798237295188202</v>
      </c>
      <c r="Z16" s="77">
        <v>9.1</v>
      </c>
      <c r="AA16" s="76">
        <v>25357974</v>
      </c>
      <c r="AB16" s="76">
        <v>18509898</v>
      </c>
      <c r="AC16" s="75">
        <v>0.83577201603137896</v>
      </c>
      <c r="AD16" s="77">
        <v>8.9</v>
      </c>
      <c r="AE16" s="76">
        <v>35140947</v>
      </c>
      <c r="AF16" s="76">
        <v>26769972</v>
      </c>
      <c r="AG16" s="75">
        <v>0.827989194126584</v>
      </c>
      <c r="AH16" s="80">
        <v>8.5</v>
      </c>
      <c r="AI16" s="76">
        <v>33305754</v>
      </c>
      <c r="AJ16" s="76">
        <v>24714566</v>
      </c>
      <c r="AK16" s="75">
        <v>0.78798013789687305</v>
      </c>
      <c r="AL16" s="77">
        <v>8.1</v>
      </c>
      <c r="AM16" s="76">
        <v>22480158</v>
      </c>
      <c r="AN16" s="76">
        <v>16707872</v>
      </c>
      <c r="AO16" s="75">
        <v>0.78400600481500105</v>
      </c>
      <c r="AP16" s="80" t="s">
        <v>22</v>
      </c>
      <c r="AQ16" s="79" t="s">
        <v>22</v>
      </c>
      <c r="AR16" s="79" t="s">
        <v>22</v>
      </c>
      <c r="AS16" s="78" t="s">
        <v>22</v>
      </c>
      <c r="AT16" s="77">
        <v>9.1</v>
      </c>
      <c r="AU16" s="76">
        <v>42392309</v>
      </c>
      <c r="AV16" s="76">
        <v>32432484</v>
      </c>
      <c r="AW16" s="75">
        <v>0.82340653524500296</v>
      </c>
      <c r="AX16" s="77">
        <v>9.1999999999999993</v>
      </c>
      <c r="AY16" s="76">
        <v>33752392</v>
      </c>
      <c r="AZ16" s="76">
        <v>22129713</v>
      </c>
      <c r="BA16" s="75">
        <v>0.81041096058967599</v>
      </c>
      <c r="BB16" s="77">
        <v>9.1999999999999993</v>
      </c>
      <c r="BC16" s="76">
        <v>22626194</v>
      </c>
      <c r="BD16" s="76">
        <v>16769772</v>
      </c>
      <c r="BE16" s="75">
        <v>0.79587136000176195</v>
      </c>
      <c r="BF16" s="77">
        <v>8.5</v>
      </c>
      <c r="BG16" s="76">
        <v>25988522</v>
      </c>
      <c r="BH16" s="76">
        <v>19387716</v>
      </c>
      <c r="BI16" s="75">
        <v>0.80363073314969402</v>
      </c>
    </row>
    <row r="17" spans="1:61" ht="16" customHeight="1" x14ac:dyDescent="0.15">
      <c r="A17" s="58">
        <v>13</v>
      </c>
      <c r="B17" s="77">
        <v>9.4</v>
      </c>
      <c r="C17" s="76">
        <v>25658827</v>
      </c>
      <c r="D17" s="76">
        <v>19963588</v>
      </c>
      <c r="E17" s="75">
        <v>0.83963456384702195</v>
      </c>
      <c r="F17" s="77">
        <v>9.5</v>
      </c>
      <c r="G17" s="76">
        <v>33869933</v>
      </c>
      <c r="H17" s="76">
        <v>26894783</v>
      </c>
      <c r="I17" s="75">
        <v>0.83690756999351401</v>
      </c>
      <c r="J17" s="77">
        <v>9.1</v>
      </c>
      <c r="K17" s="76">
        <v>27731851</v>
      </c>
      <c r="L17" s="76">
        <v>21787535</v>
      </c>
      <c r="M17" s="75">
        <v>0.83930602379414798</v>
      </c>
      <c r="N17" s="77">
        <v>9.3000000000000007</v>
      </c>
      <c r="O17" s="76">
        <v>34394214</v>
      </c>
      <c r="P17" s="76">
        <v>19833525</v>
      </c>
      <c r="Q17" s="75">
        <v>0.80872185450878298</v>
      </c>
      <c r="R17" s="77">
        <v>8.8000000000000007</v>
      </c>
      <c r="S17" s="76">
        <v>34186794</v>
      </c>
      <c r="T17" s="76">
        <v>26000159</v>
      </c>
      <c r="U17" s="75">
        <v>0.80532471872425204</v>
      </c>
      <c r="V17" s="77">
        <v>9</v>
      </c>
      <c r="W17" s="76">
        <v>47724803</v>
      </c>
      <c r="X17" s="76">
        <v>27727600</v>
      </c>
      <c r="Y17" s="75">
        <v>0.80975519095668402</v>
      </c>
      <c r="Z17" s="77">
        <v>9.1999999999999993</v>
      </c>
      <c r="AA17" s="76">
        <v>32723545</v>
      </c>
      <c r="AB17" s="76">
        <v>24278075</v>
      </c>
      <c r="AC17" s="75">
        <v>0.81586390337953696</v>
      </c>
      <c r="AD17" s="77">
        <v>9</v>
      </c>
      <c r="AE17" s="76">
        <v>22400777</v>
      </c>
      <c r="AF17" s="76">
        <v>16892745</v>
      </c>
      <c r="AG17" s="75">
        <v>0.83051149523332402</v>
      </c>
      <c r="AH17" s="80">
        <v>8.4</v>
      </c>
      <c r="AI17" s="76">
        <v>23677450</v>
      </c>
      <c r="AJ17" s="76">
        <v>18575443</v>
      </c>
      <c r="AK17" s="75">
        <v>0.81993203488329203</v>
      </c>
      <c r="AL17" s="77">
        <v>9.1</v>
      </c>
      <c r="AM17" s="76">
        <v>22369383</v>
      </c>
      <c r="AN17" s="76">
        <v>17628524</v>
      </c>
      <c r="AO17" s="75">
        <v>0.82739666027613901</v>
      </c>
      <c r="AP17" s="77">
        <v>9.3000000000000007</v>
      </c>
      <c r="AQ17" s="76">
        <v>20741560</v>
      </c>
      <c r="AR17" s="76">
        <v>16141483</v>
      </c>
      <c r="AS17" s="75">
        <v>0.81981435196455199</v>
      </c>
      <c r="AT17" s="77">
        <v>9.1</v>
      </c>
      <c r="AU17" s="76">
        <v>31896342</v>
      </c>
      <c r="AV17" s="76">
        <v>23895828</v>
      </c>
      <c r="AW17" s="75">
        <v>0.82318442450551099</v>
      </c>
      <c r="AX17" s="77">
        <v>9</v>
      </c>
      <c r="AY17" s="76">
        <v>27018775</v>
      </c>
      <c r="AZ17" s="76">
        <v>20164534</v>
      </c>
      <c r="BA17" s="75">
        <v>0.80542647508590404</v>
      </c>
      <c r="BB17" s="77">
        <v>9.1</v>
      </c>
      <c r="BC17" s="76">
        <v>31381508</v>
      </c>
      <c r="BD17" s="76">
        <v>24406809</v>
      </c>
      <c r="BE17" s="75">
        <v>0.82378912480487698</v>
      </c>
      <c r="BF17" s="77">
        <v>9</v>
      </c>
      <c r="BG17" s="76">
        <v>24639545</v>
      </c>
      <c r="BH17" s="76">
        <v>17109621</v>
      </c>
      <c r="BI17" s="75">
        <v>0.74838652645211301</v>
      </c>
    </row>
    <row r="18" spans="1:61" ht="16" customHeight="1" x14ac:dyDescent="0.15">
      <c r="A18" s="58">
        <v>14</v>
      </c>
      <c r="B18" s="77">
        <v>9.5</v>
      </c>
      <c r="C18" s="76">
        <v>27176075</v>
      </c>
      <c r="D18" s="76">
        <v>21015507</v>
      </c>
      <c r="E18" s="75">
        <v>0.83437176993953499</v>
      </c>
      <c r="F18" s="77">
        <v>9.6</v>
      </c>
      <c r="G18" s="76">
        <v>32136848</v>
      </c>
      <c r="H18" s="76">
        <v>25445804</v>
      </c>
      <c r="I18" s="75">
        <v>0.83575967497152404</v>
      </c>
      <c r="J18" s="77">
        <v>8.9</v>
      </c>
      <c r="K18" s="76">
        <v>29426931</v>
      </c>
      <c r="L18" s="76">
        <v>22696906</v>
      </c>
      <c r="M18" s="75">
        <v>0.82766458357271699</v>
      </c>
      <c r="N18" s="77">
        <v>9.4</v>
      </c>
      <c r="O18" s="76">
        <v>32523320</v>
      </c>
      <c r="P18" s="76">
        <v>17998458</v>
      </c>
      <c r="Q18" s="75">
        <v>0.80907745804742504</v>
      </c>
      <c r="R18" s="77">
        <v>8.6999999999999993</v>
      </c>
      <c r="S18" s="76">
        <v>26398903</v>
      </c>
      <c r="T18" s="76">
        <v>19775949</v>
      </c>
      <c r="U18" s="75">
        <v>0.78899046661988403</v>
      </c>
      <c r="V18" s="77">
        <v>8.9</v>
      </c>
      <c r="W18" s="76">
        <v>46795656</v>
      </c>
      <c r="X18" s="76">
        <v>27464406</v>
      </c>
      <c r="Y18" s="75">
        <v>0.80659188220032496</v>
      </c>
      <c r="Z18" s="77">
        <v>9.5</v>
      </c>
      <c r="AA18" s="76">
        <v>34040699</v>
      </c>
      <c r="AB18" s="76">
        <v>26351021</v>
      </c>
      <c r="AC18" s="75">
        <v>0.829107805701914</v>
      </c>
      <c r="AD18" s="77">
        <v>9.1</v>
      </c>
      <c r="AE18" s="76">
        <v>27363721</v>
      </c>
      <c r="AF18" s="76">
        <v>20878319</v>
      </c>
      <c r="AG18" s="75">
        <v>0.82873722905592995</v>
      </c>
      <c r="AH18" s="80">
        <v>6.7</v>
      </c>
      <c r="AI18" s="76">
        <v>27838760</v>
      </c>
      <c r="AJ18" s="76">
        <v>20984764</v>
      </c>
      <c r="AK18" s="75">
        <v>0.785760548191066</v>
      </c>
      <c r="AL18" s="77">
        <v>8.8000000000000007</v>
      </c>
      <c r="AM18" s="76">
        <v>21393496</v>
      </c>
      <c r="AN18" s="76">
        <v>16964456</v>
      </c>
      <c r="AO18" s="75">
        <v>0.83022578803628999</v>
      </c>
      <c r="AP18" s="77">
        <v>9.1999999999999993</v>
      </c>
      <c r="AQ18" s="76">
        <v>31776287</v>
      </c>
      <c r="AR18" s="76">
        <v>24300152</v>
      </c>
      <c r="AS18" s="75">
        <v>0.807583366425766</v>
      </c>
      <c r="AT18" s="77">
        <v>9.1999999999999993</v>
      </c>
      <c r="AU18" s="76">
        <v>25967819</v>
      </c>
      <c r="AV18" s="76">
        <v>19588535</v>
      </c>
      <c r="AW18" s="75">
        <v>0.81401161293732804</v>
      </c>
      <c r="AX18" s="77">
        <v>9.1</v>
      </c>
      <c r="AY18" s="76">
        <v>26823571</v>
      </c>
      <c r="AZ18" s="76">
        <v>20233938</v>
      </c>
      <c r="BA18" s="75">
        <v>0.81194440735962403</v>
      </c>
      <c r="BB18" s="77">
        <v>9</v>
      </c>
      <c r="BC18" s="76">
        <v>70485147</v>
      </c>
      <c r="BD18" s="76">
        <v>54645606</v>
      </c>
      <c r="BE18" s="75">
        <v>0.81875560476908005</v>
      </c>
      <c r="BF18" s="77">
        <v>9</v>
      </c>
      <c r="BG18" s="76">
        <v>28381132</v>
      </c>
      <c r="BH18" s="76">
        <v>20698014</v>
      </c>
      <c r="BI18" s="75">
        <v>0.77256186686772599</v>
      </c>
    </row>
    <row r="19" spans="1:61" ht="16" customHeight="1" x14ac:dyDescent="0.15">
      <c r="A19" s="58">
        <v>15</v>
      </c>
      <c r="B19" s="77">
        <v>9.5</v>
      </c>
      <c r="C19" s="76">
        <v>40654586</v>
      </c>
      <c r="D19" s="76">
        <v>22981561</v>
      </c>
      <c r="E19" s="75">
        <v>0.83852294401243699</v>
      </c>
      <c r="F19" s="77">
        <v>8.1999999999999993</v>
      </c>
      <c r="G19" s="76">
        <v>43147645</v>
      </c>
      <c r="H19" s="76">
        <v>31657932</v>
      </c>
      <c r="I19" s="75">
        <v>0.837304384019116</v>
      </c>
      <c r="J19" s="77">
        <v>8.9</v>
      </c>
      <c r="K19" s="76">
        <v>35533010</v>
      </c>
      <c r="L19" s="76">
        <v>21024352</v>
      </c>
      <c r="M19" s="75">
        <v>0.83545944612477496</v>
      </c>
      <c r="N19" s="77">
        <v>9</v>
      </c>
      <c r="O19" s="76">
        <v>49030605</v>
      </c>
      <c r="P19" s="76">
        <v>17998688</v>
      </c>
      <c r="Q19" s="75">
        <v>0.81604379246457404</v>
      </c>
      <c r="R19" s="77">
        <v>8.6999999999999993</v>
      </c>
      <c r="S19" s="76">
        <v>40563425</v>
      </c>
      <c r="T19" s="76">
        <v>22908511</v>
      </c>
      <c r="U19" s="75">
        <v>0.80655901496371596</v>
      </c>
      <c r="V19" s="77">
        <v>8.9</v>
      </c>
      <c r="W19" s="76">
        <v>46547570</v>
      </c>
      <c r="X19" s="76">
        <v>27254016</v>
      </c>
      <c r="Y19" s="75">
        <v>0.81153724549996697</v>
      </c>
      <c r="Z19" s="77">
        <v>9.4</v>
      </c>
      <c r="AA19" s="76">
        <v>52496750</v>
      </c>
      <c r="AB19" s="76">
        <v>32948940</v>
      </c>
      <c r="AC19" s="75">
        <v>0.83292376770715104</v>
      </c>
      <c r="AD19" s="77">
        <v>9</v>
      </c>
      <c r="AE19" s="76">
        <v>28129604</v>
      </c>
      <c r="AF19" s="76">
        <v>21923453</v>
      </c>
      <c r="AG19" s="75">
        <v>0.82571853504144799</v>
      </c>
      <c r="AH19" s="80">
        <v>7.8</v>
      </c>
      <c r="AI19" s="76">
        <v>27038541</v>
      </c>
      <c r="AJ19" s="76">
        <v>18020046</v>
      </c>
      <c r="AK19" s="75">
        <v>0.80209050424301198</v>
      </c>
      <c r="AL19" s="77">
        <v>8.8000000000000007</v>
      </c>
      <c r="AM19" s="76">
        <v>30372270</v>
      </c>
      <c r="AN19" s="76">
        <v>19994377</v>
      </c>
      <c r="AO19" s="75">
        <v>0.82681760496951295</v>
      </c>
      <c r="AP19" s="77">
        <v>9.1999999999999993</v>
      </c>
      <c r="AQ19" s="76">
        <v>33075216</v>
      </c>
      <c r="AR19" s="76">
        <v>24961660</v>
      </c>
      <c r="AS19" s="75">
        <v>0.80165461299389296</v>
      </c>
      <c r="AT19" s="77" t="s">
        <v>22</v>
      </c>
      <c r="AU19" s="76">
        <v>55829863</v>
      </c>
      <c r="AV19" s="76">
        <v>31169765</v>
      </c>
      <c r="AW19" s="75">
        <v>0.81907405830737101</v>
      </c>
      <c r="AX19" s="77">
        <v>9.4</v>
      </c>
      <c r="AY19" s="76">
        <v>41489474</v>
      </c>
      <c r="AZ19" s="76">
        <v>21732811</v>
      </c>
      <c r="BA19" s="75">
        <v>0.81637125400080002</v>
      </c>
      <c r="BB19" s="77">
        <v>9</v>
      </c>
      <c r="BC19" s="76">
        <v>34844159</v>
      </c>
      <c r="BD19" s="76">
        <v>21341017</v>
      </c>
      <c r="BE19" s="75">
        <v>0.82228646933528204</v>
      </c>
      <c r="BF19" s="77">
        <v>8.9</v>
      </c>
      <c r="BG19" s="76">
        <v>40007714</v>
      </c>
      <c r="BH19" s="76">
        <v>29261863</v>
      </c>
      <c r="BI19" s="75">
        <v>0.81439284533248701</v>
      </c>
    </row>
    <row r="20" spans="1:61" ht="16" customHeight="1" x14ac:dyDescent="0.15">
      <c r="A20" s="58">
        <v>16</v>
      </c>
      <c r="B20" s="77">
        <v>9.4</v>
      </c>
      <c r="C20" s="76">
        <v>25356642</v>
      </c>
      <c r="D20" s="76">
        <v>19556715</v>
      </c>
      <c r="E20" s="75">
        <v>0.83324609621902201</v>
      </c>
      <c r="F20" s="77">
        <v>9.6</v>
      </c>
      <c r="G20" s="76">
        <v>29860961</v>
      </c>
      <c r="H20" s="76">
        <v>23566140</v>
      </c>
      <c r="I20" s="75">
        <v>0.83212272660344</v>
      </c>
      <c r="J20" s="77">
        <v>9</v>
      </c>
      <c r="K20" s="76">
        <v>23674253</v>
      </c>
      <c r="L20" s="76">
        <v>17771077</v>
      </c>
      <c r="M20" s="75">
        <v>0.84492785884959098</v>
      </c>
      <c r="N20" s="77">
        <v>9.1999999999999993</v>
      </c>
      <c r="O20" s="76">
        <v>32636264</v>
      </c>
      <c r="P20" s="76">
        <v>18165168</v>
      </c>
      <c r="Q20" s="75">
        <v>0.80325888823276603</v>
      </c>
      <c r="R20" s="77">
        <v>8.8000000000000007</v>
      </c>
      <c r="S20" s="76">
        <v>21767996</v>
      </c>
      <c r="T20" s="76">
        <v>16380778</v>
      </c>
      <c r="U20" s="75">
        <v>0.79839371593584496</v>
      </c>
      <c r="V20" s="77">
        <v>9.4</v>
      </c>
      <c r="W20" s="76">
        <v>23266111</v>
      </c>
      <c r="X20" s="76">
        <v>16844303</v>
      </c>
      <c r="Y20" s="75">
        <v>0.79718111341349096</v>
      </c>
      <c r="Z20" s="77">
        <v>9.1</v>
      </c>
      <c r="AA20" s="76">
        <v>30502874</v>
      </c>
      <c r="AB20" s="76">
        <v>23358644</v>
      </c>
      <c r="AC20" s="75">
        <v>0.82557683726691999</v>
      </c>
      <c r="AD20" s="77">
        <v>9.3000000000000007</v>
      </c>
      <c r="AE20" s="76">
        <v>31413995</v>
      </c>
      <c r="AF20" s="76">
        <v>24109031</v>
      </c>
      <c r="AG20" s="75">
        <v>0.83373506500368999</v>
      </c>
      <c r="AH20" s="80">
        <v>9.1</v>
      </c>
      <c r="AI20" s="76">
        <v>23264292</v>
      </c>
      <c r="AJ20" s="76">
        <v>17646214</v>
      </c>
      <c r="AK20" s="75">
        <v>0.79279324368280002</v>
      </c>
      <c r="AL20" s="77">
        <v>8.6999999999999993</v>
      </c>
      <c r="AM20" s="76">
        <v>22260238</v>
      </c>
      <c r="AN20" s="76">
        <v>17602642</v>
      </c>
      <c r="AO20" s="75">
        <v>0.82804434321030995</v>
      </c>
      <c r="AP20" s="77">
        <v>9.1999999999999993</v>
      </c>
      <c r="AQ20" s="76">
        <v>31505889</v>
      </c>
      <c r="AR20" s="76">
        <v>23311199</v>
      </c>
      <c r="AS20" s="75">
        <v>0.79227609622719597</v>
      </c>
      <c r="AT20" s="77">
        <v>9.1999999999999993</v>
      </c>
      <c r="AU20" s="76">
        <v>27107619</v>
      </c>
      <c r="AV20" s="76">
        <v>20449188</v>
      </c>
      <c r="AW20" s="75">
        <v>0.816946598175192</v>
      </c>
      <c r="AX20" s="77">
        <v>9.1999999999999993</v>
      </c>
      <c r="AY20" s="76">
        <v>27510840</v>
      </c>
      <c r="AZ20" s="76">
        <v>20642441</v>
      </c>
      <c r="BA20" s="75">
        <v>0.80742986233657998</v>
      </c>
      <c r="BB20" s="77">
        <v>9.1</v>
      </c>
      <c r="BC20" s="76">
        <v>30744293</v>
      </c>
      <c r="BD20" s="76">
        <v>23794377</v>
      </c>
      <c r="BE20" s="75">
        <v>0.81781937421689499</v>
      </c>
      <c r="BF20" s="77">
        <v>9.4</v>
      </c>
      <c r="BG20" s="76">
        <v>24595377</v>
      </c>
      <c r="BH20" s="76">
        <v>18966404</v>
      </c>
      <c r="BI20" s="75">
        <v>0.80970463657668601</v>
      </c>
    </row>
    <row r="21" spans="1:61" ht="16" customHeight="1" x14ac:dyDescent="0.15">
      <c r="A21" s="58">
        <v>17</v>
      </c>
      <c r="B21" s="77">
        <v>9.5</v>
      </c>
      <c r="C21" s="76">
        <v>23275573</v>
      </c>
      <c r="D21" s="76">
        <v>18033339</v>
      </c>
      <c r="E21" s="75">
        <v>0.83955608695352602</v>
      </c>
      <c r="F21" s="77">
        <v>9.4</v>
      </c>
      <c r="G21" s="76">
        <v>29716890</v>
      </c>
      <c r="H21" s="76">
        <v>23616289</v>
      </c>
      <c r="I21" s="75">
        <v>0.83765381627230495</v>
      </c>
      <c r="J21" s="77">
        <v>8.9</v>
      </c>
      <c r="K21" s="76">
        <v>27321118</v>
      </c>
      <c r="L21" s="76">
        <v>21151844</v>
      </c>
      <c r="M21" s="75">
        <v>0.831657999828886</v>
      </c>
      <c r="N21" s="77">
        <v>9.5</v>
      </c>
      <c r="O21" s="76">
        <v>33868023</v>
      </c>
      <c r="P21" s="76">
        <v>19140490</v>
      </c>
      <c r="Q21" s="75">
        <v>0.79396790651495397</v>
      </c>
      <c r="R21" s="77">
        <v>9</v>
      </c>
      <c r="S21" s="76">
        <v>25708114</v>
      </c>
      <c r="T21" s="76">
        <v>19688500</v>
      </c>
      <c r="U21" s="75">
        <v>0.80460446999395596</v>
      </c>
      <c r="V21" s="77">
        <v>8.9</v>
      </c>
      <c r="W21" s="76">
        <v>37860560</v>
      </c>
      <c r="X21" s="76">
        <v>20432689</v>
      </c>
      <c r="Y21" s="75">
        <v>0.81186630214442002</v>
      </c>
      <c r="Z21" s="77">
        <v>9.5</v>
      </c>
      <c r="AA21" s="76">
        <v>26293608</v>
      </c>
      <c r="AB21" s="76">
        <v>20887784</v>
      </c>
      <c r="AC21" s="75">
        <v>0.83205497037088005</v>
      </c>
      <c r="AD21" s="77">
        <v>9</v>
      </c>
      <c r="AE21" s="76">
        <v>25639081</v>
      </c>
      <c r="AF21" s="76">
        <v>20175507</v>
      </c>
      <c r="AG21" s="75">
        <v>0.83398394847559598</v>
      </c>
      <c r="AH21" s="80">
        <v>7.7</v>
      </c>
      <c r="AI21" s="76">
        <v>23742747</v>
      </c>
      <c r="AJ21" s="76">
        <v>17907544</v>
      </c>
      <c r="AK21" s="75">
        <v>0.78731993961381896</v>
      </c>
      <c r="AL21" s="77">
        <v>8.6</v>
      </c>
      <c r="AM21" s="76">
        <v>21395302</v>
      </c>
      <c r="AN21" s="76">
        <v>17069073</v>
      </c>
      <c r="AO21" s="75">
        <v>0.83439991924408197</v>
      </c>
      <c r="AP21" s="77">
        <v>9</v>
      </c>
      <c r="AQ21" s="76">
        <v>32434492</v>
      </c>
      <c r="AR21" s="76">
        <v>25015606</v>
      </c>
      <c r="AS21" s="75">
        <v>0.82633965440052404</v>
      </c>
      <c r="AT21" s="77">
        <v>9.1999999999999993</v>
      </c>
      <c r="AU21" s="76">
        <v>25207531</v>
      </c>
      <c r="AV21" s="76">
        <v>19175152</v>
      </c>
      <c r="AW21" s="75">
        <v>0.82286911738535096</v>
      </c>
      <c r="AX21" s="77">
        <v>9.1999999999999993</v>
      </c>
      <c r="AY21" s="76">
        <v>24896109</v>
      </c>
      <c r="AZ21" s="76">
        <v>18684654</v>
      </c>
      <c r="BA21" s="75">
        <v>0.80788938373480401</v>
      </c>
      <c r="BB21" s="77">
        <v>9</v>
      </c>
      <c r="BC21" s="76">
        <v>25031380</v>
      </c>
      <c r="BD21" s="76">
        <v>19347411</v>
      </c>
      <c r="BE21" s="75">
        <v>0.81764333462412897</v>
      </c>
      <c r="BF21" s="77">
        <v>9.4</v>
      </c>
      <c r="BG21" s="76">
        <v>23756809</v>
      </c>
      <c r="BH21" s="76">
        <v>16419422</v>
      </c>
      <c r="BI21" s="75">
        <v>0.81517119768701696</v>
      </c>
    </row>
    <row r="22" spans="1:61" s="64" customFormat="1" ht="16" customHeight="1" x14ac:dyDescent="0.15">
      <c r="A22" s="58">
        <v>18</v>
      </c>
      <c r="B22" s="77">
        <v>9.5</v>
      </c>
      <c r="C22" s="76">
        <v>27808516</v>
      </c>
      <c r="D22" s="76">
        <v>21503230</v>
      </c>
      <c r="E22" s="75">
        <v>0.83893223479629597</v>
      </c>
      <c r="F22" s="77">
        <v>9.1999999999999993</v>
      </c>
      <c r="G22" s="76">
        <v>28136753</v>
      </c>
      <c r="H22" s="76">
        <v>22350106</v>
      </c>
      <c r="I22" s="75">
        <v>0.83864271704542803</v>
      </c>
      <c r="J22" s="77">
        <v>8.6</v>
      </c>
      <c r="K22" s="76">
        <v>25294657</v>
      </c>
      <c r="L22" s="76">
        <v>19944915</v>
      </c>
      <c r="M22" s="75">
        <v>0.84036024115513397</v>
      </c>
      <c r="N22" s="77">
        <v>9.4</v>
      </c>
      <c r="O22" s="76">
        <v>35477914</v>
      </c>
      <c r="P22" s="76">
        <v>19403662</v>
      </c>
      <c r="Q22" s="75">
        <v>0.80295256977023799</v>
      </c>
      <c r="R22" s="77">
        <v>8.8000000000000007</v>
      </c>
      <c r="S22" s="76">
        <v>24118849</v>
      </c>
      <c r="T22" s="76">
        <v>18499036</v>
      </c>
      <c r="U22" s="75">
        <v>0.80617160444179203</v>
      </c>
      <c r="V22" s="77">
        <v>8.8000000000000007</v>
      </c>
      <c r="W22" s="76">
        <v>23505209</v>
      </c>
      <c r="X22" s="76">
        <v>16802261</v>
      </c>
      <c r="Y22" s="75">
        <v>0.79694357298375695</v>
      </c>
      <c r="Z22" s="77">
        <v>8.3000000000000007</v>
      </c>
      <c r="AA22" s="76">
        <v>22188448</v>
      </c>
      <c r="AB22" s="76">
        <v>17548992</v>
      </c>
      <c r="AC22" s="75">
        <v>0.829202846951548</v>
      </c>
      <c r="AD22" s="77">
        <v>8.6999999999999993</v>
      </c>
      <c r="AE22" s="76">
        <v>22644839</v>
      </c>
      <c r="AF22" s="76">
        <v>16977664</v>
      </c>
      <c r="AG22" s="75">
        <v>0.822315621327254</v>
      </c>
      <c r="AH22" s="80">
        <v>8.5</v>
      </c>
      <c r="AI22" s="76">
        <v>22555597</v>
      </c>
      <c r="AJ22" s="76">
        <v>17301764</v>
      </c>
      <c r="AK22" s="75">
        <v>0.80530448856090797</v>
      </c>
      <c r="AL22" s="77">
        <v>9</v>
      </c>
      <c r="AM22" s="76">
        <v>21892782</v>
      </c>
      <c r="AN22" s="76">
        <v>17151339</v>
      </c>
      <c r="AO22" s="75">
        <v>0.823996389496082</v>
      </c>
      <c r="AP22" s="77">
        <v>8.9</v>
      </c>
      <c r="AQ22" s="76">
        <v>23035089</v>
      </c>
      <c r="AR22" s="76">
        <v>17428925</v>
      </c>
      <c r="AS22" s="75">
        <v>0.81991280350464502</v>
      </c>
      <c r="AT22" s="77">
        <v>9.1999999999999993</v>
      </c>
      <c r="AU22" s="76">
        <v>26696951</v>
      </c>
      <c r="AV22" s="76">
        <v>20132898</v>
      </c>
      <c r="AW22" s="75">
        <v>0.81690356638459505</v>
      </c>
      <c r="AX22" s="77">
        <v>9.1999999999999993</v>
      </c>
      <c r="AY22" s="76">
        <v>25081254</v>
      </c>
      <c r="AZ22" s="76">
        <v>18777807</v>
      </c>
      <c r="BA22" s="75">
        <v>0.80776723193890598</v>
      </c>
      <c r="BB22" s="77">
        <v>8.6999999999999993</v>
      </c>
      <c r="BC22" s="76">
        <v>24135587</v>
      </c>
      <c r="BD22" s="76">
        <v>18628407</v>
      </c>
      <c r="BE22" s="75">
        <v>0.82401713288290901</v>
      </c>
      <c r="BF22" s="77">
        <v>9.3000000000000007</v>
      </c>
      <c r="BG22" s="76">
        <v>21296320</v>
      </c>
      <c r="BH22" s="76">
        <v>16522466</v>
      </c>
      <c r="BI22" s="75">
        <v>0.81468737044360895</v>
      </c>
    </row>
    <row r="23" spans="1:61" s="64" customFormat="1" ht="16" customHeight="1" x14ac:dyDescent="0.15">
      <c r="A23" s="58">
        <v>19</v>
      </c>
      <c r="B23" s="77">
        <v>9.3000000000000007</v>
      </c>
      <c r="C23" s="76">
        <v>26291779</v>
      </c>
      <c r="D23" s="76">
        <v>20474510</v>
      </c>
      <c r="E23" s="75">
        <v>0.84428779146305899</v>
      </c>
      <c r="F23" s="77">
        <v>9.4</v>
      </c>
      <c r="G23" s="76">
        <v>27119170</v>
      </c>
      <c r="H23" s="76">
        <v>21614986</v>
      </c>
      <c r="I23" s="75">
        <v>0.84254787265392295</v>
      </c>
      <c r="J23" s="77">
        <v>8.6</v>
      </c>
      <c r="K23" s="76">
        <v>22995275</v>
      </c>
      <c r="L23" s="76">
        <v>18049445</v>
      </c>
      <c r="M23" s="75">
        <v>0.83239403655498201</v>
      </c>
      <c r="N23" s="77">
        <v>9.5</v>
      </c>
      <c r="O23" s="76">
        <v>48778370</v>
      </c>
      <c r="P23" s="76">
        <v>22706678</v>
      </c>
      <c r="Q23" s="75">
        <v>0.80377922833975901</v>
      </c>
      <c r="R23" s="77">
        <v>8.8000000000000007</v>
      </c>
      <c r="S23" s="76">
        <v>24870816</v>
      </c>
      <c r="T23" s="76">
        <v>19201618</v>
      </c>
      <c r="U23" s="75">
        <v>0.81184934648040796</v>
      </c>
      <c r="V23" s="77">
        <v>8.8000000000000007</v>
      </c>
      <c r="W23" s="76">
        <v>25551267</v>
      </c>
      <c r="X23" s="76">
        <v>18396649</v>
      </c>
      <c r="Y23" s="75">
        <v>0.79373098042423695</v>
      </c>
      <c r="Z23" s="77">
        <v>8.9</v>
      </c>
      <c r="AA23" s="76">
        <v>31714846</v>
      </c>
      <c r="AB23" s="76">
        <v>23105505</v>
      </c>
      <c r="AC23" s="75">
        <v>0.83212724638383695</v>
      </c>
      <c r="AD23" s="77">
        <v>8.9</v>
      </c>
      <c r="AE23" s="76">
        <v>35441736</v>
      </c>
      <c r="AF23" s="76">
        <v>27219471</v>
      </c>
      <c r="AG23" s="75">
        <v>0.83419825109787904</v>
      </c>
      <c r="AH23" s="80">
        <v>8.1</v>
      </c>
      <c r="AI23" s="76">
        <v>22446366</v>
      </c>
      <c r="AJ23" s="76">
        <v>17388866</v>
      </c>
      <c r="AK23" s="75">
        <v>0.81220915446035402</v>
      </c>
      <c r="AL23" s="77">
        <v>8.9</v>
      </c>
      <c r="AM23" s="76">
        <v>24759870</v>
      </c>
      <c r="AN23" s="76">
        <v>19533040</v>
      </c>
      <c r="AO23" s="75">
        <v>0.83107104172859003</v>
      </c>
      <c r="AP23" s="77">
        <v>8.9</v>
      </c>
      <c r="AQ23" s="76">
        <v>24864650</v>
      </c>
      <c r="AR23" s="76">
        <v>18864353</v>
      </c>
      <c r="AS23" s="75">
        <v>0.82167130583140902</v>
      </c>
      <c r="AT23" s="77">
        <v>9.1</v>
      </c>
      <c r="AU23" s="76">
        <v>25793302</v>
      </c>
      <c r="AV23" s="76">
        <v>19481802</v>
      </c>
      <c r="AW23" s="75">
        <v>0.81983057420074401</v>
      </c>
      <c r="AX23" s="77">
        <v>9.3000000000000007</v>
      </c>
      <c r="AY23" s="76">
        <v>27373011</v>
      </c>
      <c r="AZ23" s="76">
        <v>20473095</v>
      </c>
      <c r="BA23" s="75">
        <v>0.80725477083660302</v>
      </c>
      <c r="BB23" s="77">
        <v>9.1</v>
      </c>
      <c r="BC23" s="76">
        <v>22253794</v>
      </c>
      <c r="BD23" s="76">
        <v>17317322</v>
      </c>
      <c r="BE23" s="75">
        <v>0.82232861068652097</v>
      </c>
      <c r="BF23" s="77">
        <v>8.8000000000000007</v>
      </c>
      <c r="BG23" s="76">
        <v>27437075</v>
      </c>
      <c r="BH23" s="76">
        <v>21137104</v>
      </c>
      <c r="BI23" s="75">
        <v>0.80986869402198602</v>
      </c>
    </row>
    <row r="24" spans="1:61" s="64" customFormat="1" ht="16" customHeight="1" x14ac:dyDescent="0.15">
      <c r="A24" s="58">
        <v>20</v>
      </c>
      <c r="B24" s="80">
        <v>9.4</v>
      </c>
      <c r="C24" s="79">
        <v>26321860</v>
      </c>
      <c r="D24" s="79">
        <v>20430070</v>
      </c>
      <c r="E24" s="78">
        <v>0.83870556687167896</v>
      </c>
      <c r="F24" s="80">
        <v>9.4</v>
      </c>
      <c r="G24" s="79">
        <v>23080848</v>
      </c>
      <c r="H24" s="79">
        <v>18373539</v>
      </c>
      <c r="I24" s="78">
        <v>0.840629694746861</v>
      </c>
      <c r="J24" s="80">
        <v>8.6</v>
      </c>
      <c r="K24" s="79">
        <v>26943819</v>
      </c>
      <c r="L24" s="79">
        <v>21365546</v>
      </c>
      <c r="M24" s="78">
        <v>0.83660357418142495</v>
      </c>
      <c r="N24" s="80">
        <v>9.5</v>
      </c>
      <c r="O24" s="79">
        <v>35779636</v>
      </c>
      <c r="P24" s="79">
        <v>20264558</v>
      </c>
      <c r="Q24" s="78">
        <v>0.79933831567519098</v>
      </c>
      <c r="R24" s="80" t="s">
        <v>22</v>
      </c>
      <c r="S24" s="79" t="s">
        <v>22</v>
      </c>
      <c r="T24" s="79" t="s">
        <v>22</v>
      </c>
      <c r="U24" s="78" t="s">
        <v>22</v>
      </c>
      <c r="V24" s="80" t="s">
        <v>22</v>
      </c>
      <c r="W24" s="79" t="s">
        <v>22</v>
      </c>
      <c r="X24" s="79" t="s">
        <v>22</v>
      </c>
      <c r="Y24" s="78" t="s">
        <v>22</v>
      </c>
      <c r="Z24" s="80" t="s">
        <v>22</v>
      </c>
      <c r="AA24" s="79" t="s">
        <v>22</v>
      </c>
      <c r="AB24" s="79" t="s">
        <v>22</v>
      </c>
      <c r="AC24" s="78" t="s">
        <v>22</v>
      </c>
      <c r="AD24" s="80" t="s">
        <v>22</v>
      </c>
      <c r="AE24" s="79" t="s">
        <v>22</v>
      </c>
      <c r="AF24" s="79" t="s">
        <v>22</v>
      </c>
      <c r="AG24" s="78" t="s">
        <v>22</v>
      </c>
      <c r="AH24" s="80" t="s">
        <v>22</v>
      </c>
      <c r="AI24" s="79" t="s">
        <v>22</v>
      </c>
      <c r="AJ24" s="79" t="s">
        <v>22</v>
      </c>
      <c r="AK24" s="78" t="s">
        <v>22</v>
      </c>
      <c r="AL24" s="80" t="s">
        <v>22</v>
      </c>
      <c r="AM24" s="79" t="s">
        <v>22</v>
      </c>
      <c r="AN24" s="79" t="s">
        <v>22</v>
      </c>
      <c r="AO24" s="78" t="s">
        <v>22</v>
      </c>
      <c r="AP24" s="80" t="s">
        <v>22</v>
      </c>
      <c r="AQ24" s="79" t="s">
        <v>22</v>
      </c>
      <c r="AR24" s="79" t="s">
        <v>22</v>
      </c>
      <c r="AS24" s="78" t="s">
        <v>22</v>
      </c>
      <c r="AT24" s="80" t="s">
        <v>22</v>
      </c>
      <c r="AU24" s="79" t="s">
        <v>22</v>
      </c>
      <c r="AV24" s="79" t="s">
        <v>22</v>
      </c>
      <c r="AW24" s="78" t="s">
        <v>22</v>
      </c>
      <c r="AX24" s="80" t="s">
        <v>22</v>
      </c>
      <c r="AY24" s="79" t="s">
        <v>22</v>
      </c>
      <c r="AZ24" s="79" t="s">
        <v>22</v>
      </c>
      <c r="BA24" s="78" t="s">
        <v>22</v>
      </c>
      <c r="BB24" s="80" t="s">
        <v>22</v>
      </c>
      <c r="BC24" s="79" t="s">
        <v>22</v>
      </c>
      <c r="BD24" s="79" t="s">
        <v>22</v>
      </c>
      <c r="BE24" s="78" t="s">
        <v>22</v>
      </c>
      <c r="BF24" s="80" t="s">
        <v>22</v>
      </c>
      <c r="BG24" s="79" t="s">
        <v>22</v>
      </c>
      <c r="BH24" s="79" t="s">
        <v>22</v>
      </c>
      <c r="BI24" s="78" t="s">
        <v>22</v>
      </c>
    </row>
    <row r="25" spans="1:61" s="64" customFormat="1" ht="16" customHeight="1" x14ac:dyDescent="0.15">
      <c r="A25" s="58">
        <v>21</v>
      </c>
      <c r="B25" s="77">
        <v>9.6</v>
      </c>
      <c r="C25" s="76">
        <v>25207626</v>
      </c>
      <c r="D25" s="76">
        <v>19549187</v>
      </c>
      <c r="E25" s="75">
        <v>0.83935271578820303</v>
      </c>
      <c r="F25" s="77">
        <v>9.5</v>
      </c>
      <c r="G25" s="76">
        <v>35377247</v>
      </c>
      <c r="H25" s="76">
        <v>28060130</v>
      </c>
      <c r="I25" s="75">
        <v>0.83417218381609404</v>
      </c>
      <c r="J25" s="77">
        <v>9</v>
      </c>
      <c r="K25" s="76">
        <v>28403487</v>
      </c>
      <c r="L25" s="76">
        <v>22402648</v>
      </c>
      <c r="M25" s="75">
        <v>0.82921135072445395</v>
      </c>
      <c r="N25" s="77">
        <v>9.1999999999999993</v>
      </c>
      <c r="O25" s="76">
        <v>32283934</v>
      </c>
      <c r="P25" s="76">
        <v>19436911</v>
      </c>
      <c r="Q25" s="75">
        <v>0.79938706386176495</v>
      </c>
      <c r="R25" s="77">
        <v>8.9</v>
      </c>
      <c r="S25" s="76">
        <v>24696461</v>
      </c>
      <c r="T25" s="76">
        <v>18918005</v>
      </c>
      <c r="U25" s="75">
        <v>0.808497167076763</v>
      </c>
      <c r="V25" s="77">
        <v>9</v>
      </c>
      <c r="W25" s="76">
        <v>32658833</v>
      </c>
      <c r="X25" s="76">
        <v>23467426</v>
      </c>
      <c r="Y25" s="75">
        <v>0.79604158065540398</v>
      </c>
      <c r="Z25" s="77">
        <v>8.8000000000000007</v>
      </c>
      <c r="AA25" s="76">
        <v>26748305</v>
      </c>
      <c r="AB25" s="76">
        <v>19244062</v>
      </c>
      <c r="AC25" s="75">
        <v>0.82585225068474599</v>
      </c>
      <c r="AD25" s="77">
        <v>9.1</v>
      </c>
      <c r="AE25" s="76">
        <v>25334239</v>
      </c>
      <c r="AF25" s="76">
        <v>19365440</v>
      </c>
      <c r="AG25" s="75">
        <v>0.83220148195107102</v>
      </c>
      <c r="AH25" s="80">
        <v>7.6</v>
      </c>
      <c r="AI25" s="76">
        <v>29557736</v>
      </c>
      <c r="AJ25" s="76">
        <v>22968055</v>
      </c>
      <c r="AK25" s="75">
        <v>0.80770101405128403</v>
      </c>
      <c r="AL25" s="77">
        <v>8.5</v>
      </c>
      <c r="AM25" s="76">
        <v>21462811</v>
      </c>
      <c r="AN25" s="76">
        <v>16848085</v>
      </c>
      <c r="AO25" s="75">
        <v>0.82420284288864198</v>
      </c>
      <c r="AP25" s="77">
        <v>8.8000000000000007</v>
      </c>
      <c r="AQ25" s="76">
        <v>32430678</v>
      </c>
      <c r="AR25" s="76">
        <v>22676405</v>
      </c>
      <c r="AS25" s="75">
        <v>0.75292513628677704</v>
      </c>
      <c r="AT25" s="77">
        <v>9.1</v>
      </c>
      <c r="AU25" s="76">
        <v>47728990</v>
      </c>
      <c r="AV25" s="76">
        <v>35371078</v>
      </c>
      <c r="AW25" s="75">
        <v>0.81698677390232499</v>
      </c>
      <c r="AX25" s="77">
        <v>9.5</v>
      </c>
      <c r="AY25" s="76">
        <v>26866070</v>
      </c>
      <c r="AZ25" s="76">
        <v>20110603</v>
      </c>
      <c r="BA25" s="75">
        <v>0.80878811420357</v>
      </c>
      <c r="BB25" s="77">
        <v>9</v>
      </c>
      <c r="BC25" s="76">
        <v>24402783</v>
      </c>
      <c r="BD25" s="76">
        <v>18589273</v>
      </c>
      <c r="BE25" s="75">
        <v>0.81990860947412103</v>
      </c>
      <c r="BF25" s="77">
        <v>8.9</v>
      </c>
      <c r="BG25" s="76">
        <v>25329270</v>
      </c>
      <c r="BH25" s="76">
        <v>19573879</v>
      </c>
      <c r="BI25" s="75">
        <v>0.81121883544576601</v>
      </c>
    </row>
    <row r="26" spans="1:61" s="64" customFormat="1" ht="16" customHeight="1" x14ac:dyDescent="0.15">
      <c r="A26" s="58">
        <v>22</v>
      </c>
      <c r="B26" s="77">
        <v>9.5</v>
      </c>
      <c r="C26" s="76">
        <v>26463396</v>
      </c>
      <c r="D26" s="76">
        <v>20522778</v>
      </c>
      <c r="E26" s="75">
        <v>0.84043895442906702</v>
      </c>
      <c r="F26" s="77">
        <v>9.6</v>
      </c>
      <c r="G26" s="76">
        <v>25221193</v>
      </c>
      <c r="H26" s="76">
        <v>20125423</v>
      </c>
      <c r="I26" s="75">
        <v>0.84141561721524005</v>
      </c>
      <c r="J26" s="77">
        <v>9.1999999999999993</v>
      </c>
      <c r="K26" s="76">
        <v>27308973</v>
      </c>
      <c r="L26" s="76">
        <v>22423542</v>
      </c>
      <c r="M26" s="75">
        <v>0.85113605678647997</v>
      </c>
      <c r="N26" s="77">
        <v>9.1</v>
      </c>
      <c r="O26" s="76">
        <v>33627394</v>
      </c>
      <c r="P26" s="76">
        <v>20977510</v>
      </c>
      <c r="Q26" s="75">
        <v>0.79454122505150304</v>
      </c>
      <c r="R26" s="77">
        <v>8.9</v>
      </c>
      <c r="S26" s="76">
        <v>22782738</v>
      </c>
      <c r="T26" s="76">
        <v>17420823</v>
      </c>
      <c r="U26" s="75">
        <v>0.80853932204627998</v>
      </c>
      <c r="V26" s="77">
        <v>9.6</v>
      </c>
      <c r="W26" s="76">
        <v>32132719</v>
      </c>
      <c r="X26" s="76">
        <v>23084936</v>
      </c>
      <c r="Y26" s="75">
        <v>0.79458894614083198</v>
      </c>
      <c r="Z26" s="77">
        <v>8.9</v>
      </c>
      <c r="AA26" s="76">
        <v>29387595</v>
      </c>
      <c r="AB26" s="76">
        <v>21249450</v>
      </c>
      <c r="AC26" s="75">
        <v>0.83063617158831005</v>
      </c>
      <c r="AD26" s="77">
        <v>9.5</v>
      </c>
      <c r="AE26" s="76">
        <v>23787124</v>
      </c>
      <c r="AF26" s="76">
        <v>17872560</v>
      </c>
      <c r="AG26" s="75">
        <v>0.82770436819426996</v>
      </c>
      <c r="AH26" s="80">
        <v>9</v>
      </c>
      <c r="AI26" s="76">
        <v>32345596</v>
      </c>
      <c r="AJ26" s="76">
        <v>24828129</v>
      </c>
      <c r="AK26" s="75">
        <v>0.79650500118041101</v>
      </c>
      <c r="AL26" s="77">
        <v>8.9</v>
      </c>
      <c r="AM26" s="76">
        <v>22499033</v>
      </c>
      <c r="AN26" s="76">
        <v>17866056</v>
      </c>
      <c r="AO26" s="75">
        <v>0.83300537288180199</v>
      </c>
      <c r="AP26" s="77">
        <v>8.9</v>
      </c>
      <c r="AQ26" s="76">
        <v>23209517</v>
      </c>
      <c r="AR26" s="76">
        <v>17403465</v>
      </c>
      <c r="AS26" s="75">
        <v>0.80525079077003603</v>
      </c>
      <c r="AT26" s="77">
        <v>8.8000000000000007</v>
      </c>
      <c r="AU26" s="76">
        <v>40221677</v>
      </c>
      <c r="AV26" s="76">
        <v>26231635</v>
      </c>
      <c r="AW26" s="75">
        <v>0.80597812915100497</v>
      </c>
      <c r="AX26" s="77">
        <v>9</v>
      </c>
      <c r="AY26" s="76">
        <v>27795568</v>
      </c>
      <c r="AZ26" s="76">
        <v>20608765</v>
      </c>
      <c r="BA26" s="75">
        <v>0.79830593280665696</v>
      </c>
      <c r="BB26" s="77">
        <v>8.9</v>
      </c>
      <c r="BC26" s="76">
        <v>23118805</v>
      </c>
      <c r="BD26" s="76">
        <v>17361287</v>
      </c>
      <c r="BE26" s="75">
        <v>0.80392887405373403</v>
      </c>
      <c r="BF26" s="77">
        <v>8.1999999999999993</v>
      </c>
      <c r="BG26" s="76">
        <v>27798853</v>
      </c>
      <c r="BH26" s="76">
        <v>21381623</v>
      </c>
      <c r="BI26" s="75">
        <v>0.80857373277222</v>
      </c>
    </row>
    <row r="27" spans="1:61" s="64" customFormat="1" ht="16" customHeight="1" x14ac:dyDescent="0.15">
      <c r="A27" s="58">
        <v>23</v>
      </c>
      <c r="B27" s="80">
        <v>9.6</v>
      </c>
      <c r="C27" s="79">
        <v>26454520</v>
      </c>
      <c r="D27" s="79">
        <v>20390057</v>
      </c>
      <c r="E27" s="78">
        <v>0.83594846308086401</v>
      </c>
      <c r="F27" s="80">
        <v>9.5</v>
      </c>
      <c r="G27" s="79">
        <v>35813413</v>
      </c>
      <c r="H27" s="79">
        <v>28293185</v>
      </c>
      <c r="I27" s="78">
        <v>0.83100144079839999</v>
      </c>
      <c r="J27" s="80" t="s">
        <v>22</v>
      </c>
      <c r="K27" s="79" t="s">
        <v>22</v>
      </c>
      <c r="L27" s="79" t="s">
        <v>22</v>
      </c>
      <c r="M27" s="78" t="s">
        <v>22</v>
      </c>
      <c r="N27" s="80">
        <v>9.3000000000000007</v>
      </c>
      <c r="O27" s="79">
        <v>35780629</v>
      </c>
      <c r="P27" s="79">
        <v>18873028</v>
      </c>
      <c r="Q27" s="78">
        <v>0.80417736991226396</v>
      </c>
      <c r="R27" s="80" t="s">
        <v>22</v>
      </c>
      <c r="S27" s="79" t="s">
        <v>22</v>
      </c>
      <c r="T27" s="79" t="s">
        <v>22</v>
      </c>
      <c r="U27" s="78" t="s">
        <v>22</v>
      </c>
      <c r="V27" s="80" t="s">
        <v>22</v>
      </c>
      <c r="W27" s="79" t="s">
        <v>22</v>
      </c>
      <c r="X27" s="79" t="s">
        <v>22</v>
      </c>
      <c r="Y27" s="78" t="s">
        <v>22</v>
      </c>
      <c r="Z27" s="80" t="s">
        <v>22</v>
      </c>
      <c r="AA27" s="79" t="s">
        <v>22</v>
      </c>
      <c r="AB27" s="79" t="s">
        <v>22</v>
      </c>
      <c r="AC27" s="78" t="s">
        <v>22</v>
      </c>
      <c r="AD27" s="80" t="s">
        <v>22</v>
      </c>
      <c r="AE27" s="79" t="s">
        <v>22</v>
      </c>
      <c r="AF27" s="79" t="s">
        <v>22</v>
      </c>
      <c r="AG27" s="78" t="s">
        <v>22</v>
      </c>
      <c r="AH27" s="80" t="s">
        <v>22</v>
      </c>
      <c r="AI27" s="79" t="s">
        <v>22</v>
      </c>
      <c r="AJ27" s="79" t="s">
        <v>22</v>
      </c>
      <c r="AK27" s="78" t="s">
        <v>22</v>
      </c>
      <c r="AL27" s="80" t="s">
        <v>22</v>
      </c>
      <c r="AM27" s="79" t="s">
        <v>22</v>
      </c>
      <c r="AN27" s="79" t="s">
        <v>22</v>
      </c>
      <c r="AO27" s="78" t="s">
        <v>22</v>
      </c>
      <c r="AP27" s="80" t="s">
        <v>22</v>
      </c>
      <c r="AQ27" s="79" t="s">
        <v>22</v>
      </c>
      <c r="AR27" s="79" t="s">
        <v>22</v>
      </c>
      <c r="AS27" s="78" t="s">
        <v>22</v>
      </c>
      <c r="AT27" s="80" t="s">
        <v>22</v>
      </c>
      <c r="AU27" s="79" t="s">
        <v>22</v>
      </c>
      <c r="AV27" s="79" t="s">
        <v>22</v>
      </c>
      <c r="AW27" s="78" t="s">
        <v>22</v>
      </c>
      <c r="AX27" s="80" t="s">
        <v>22</v>
      </c>
      <c r="AY27" s="79" t="s">
        <v>22</v>
      </c>
      <c r="AZ27" s="79" t="s">
        <v>22</v>
      </c>
      <c r="BA27" s="78" t="s">
        <v>22</v>
      </c>
      <c r="BB27" s="80" t="s">
        <v>22</v>
      </c>
      <c r="BC27" s="79" t="s">
        <v>22</v>
      </c>
      <c r="BD27" s="79" t="s">
        <v>22</v>
      </c>
      <c r="BE27" s="78" t="s">
        <v>22</v>
      </c>
      <c r="BF27" s="80" t="s">
        <v>22</v>
      </c>
      <c r="BG27" s="79" t="s">
        <v>22</v>
      </c>
      <c r="BH27" s="79" t="s">
        <v>22</v>
      </c>
      <c r="BI27" s="78" t="s">
        <v>22</v>
      </c>
    </row>
    <row r="28" spans="1:61" s="64" customFormat="1" ht="16" customHeight="1" x14ac:dyDescent="0.15">
      <c r="A28" s="58">
        <v>24</v>
      </c>
      <c r="B28" s="77">
        <v>9.4</v>
      </c>
      <c r="C28" s="76">
        <v>31467456</v>
      </c>
      <c r="D28" s="76">
        <v>24299202</v>
      </c>
      <c r="E28" s="75">
        <v>0.83550122074863198</v>
      </c>
      <c r="F28" s="77">
        <v>9.4</v>
      </c>
      <c r="G28" s="76">
        <v>34601959</v>
      </c>
      <c r="H28" s="76">
        <v>27422731</v>
      </c>
      <c r="I28" s="75">
        <v>0.83449521110748004</v>
      </c>
      <c r="J28" s="77">
        <v>8.6</v>
      </c>
      <c r="K28" s="76">
        <v>23419410</v>
      </c>
      <c r="L28" s="76">
        <v>18085607</v>
      </c>
      <c r="M28" s="75">
        <v>0.81776816514808504</v>
      </c>
      <c r="N28" s="77">
        <v>9.3000000000000007</v>
      </c>
      <c r="O28" s="76">
        <v>31300127</v>
      </c>
      <c r="P28" s="76">
        <v>17955625</v>
      </c>
      <c r="Q28" s="75">
        <v>0.79539931886420001</v>
      </c>
      <c r="R28" s="77">
        <v>8.9</v>
      </c>
      <c r="S28" s="76">
        <v>29296705</v>
      </c>
      <c r="T28" s="76">
        <v>22071699</v>
      </c>
      <c r="U28" s="75">
        <v>0.81570373053174605</v>
      </c>
      <c r="V28" s="77">
        <v>8.3000000000000007</v>
      </c>
      <c r="W28" s="76">
        <v>24904077</v>
      </c>
      <c r="X28" s="76">
        <v>17625030</v>
      </c>
      <c r="Y28" s="75">
        <v>0.77713732462741103</v>
      </c>
      <c r="Z28" s="77">
        <v>9</v>
      </c>
      <c r="AA28" s="76">
        <v>31040936</v>
      </c>
      <c r="AB28" s="76">
        <v>22514780</v>
      </c>
      <c r="AC28" s="75">
        <v>0.82931093036224801</v>
      </c>
      <c r="AD28" s="77">
        <v>9.1</v>
      </c>
      <c r="AE28" s="76">
        <v>33622863</v>
      </c>
      <c r="AF28" s="76">
        <v>26476291</v>
      </c>
      <c r="AG28" s="75">
        <v>0.82305359724807903</v>
      </c>
      <c r="AH28" s="80">
        <v>7.6</v>
      </c>
      <c r="AI28" s="76">
        <v>38182905</v>
      </c>
      <c r="AJ28" s="76">
        <v>18234291</v>
      </c>
      <c r="AK28" s="75">
        <v>0.54672548324346404</v>
      </c>
      <c r="AL28" s="77">
        <v>8.5</v>
      </c>
      <c r="AM28" s="76">
        <v>61394623</v>
      </c>
      <c r="AN28" s="76">
        <v>48031976</v>
      </c>
      <c r="AO28" s="75">
        <v>0.81646816013962098</v>
      </c>
      <c r="AP28" s="77">
        <v>9</v>
      </c>
      <c r="AQ28" s="76">
        <v>22709237</v>
      </c>
      <c r="AR28" s="76">
        <v>16899310</v>
      </c>
      <c r="AS28" s="75">
        <v>0.80141363756300399</v>
      </c>
      <c r="AT28" s="77">
        <v>9</v>
      </c>
      <c r="AU28" s="76">
        <v>30297529</v>
      </c>
      <c r="AV28" s="76">
        <v>19653803</v>
      </c>
      <c r="AW28" s="75">
        <v>0.80492219730972903</v>
      </c>
      <c r="AX28" s="77">
        <v>9.4</v>
      </c>
      <c r="AY28" s="76">
        <v>25206514</v>
      </c>
      <c r="AZ28" s="76">
        <v>16212456</v>
      </c>
      <c r="BA28" s="75">
        <v>0.80275281211819605</v>
      </c>
      <c r="BB28" s="77">
        <v>8.8000000000000007</v>
      </c>
      <c r="BC28" s="76">
        <v>21747021</v>
      </c>
      <c r="BD28" s="76">
        <v>16256809</v>
      </c>
      <c r="BE28" s="75">
        <v>0.79676292939113502</v>
      </c>
      <c r="BF28" s="77">
        <v>8.5</v>
      </c>
      <c r="BG28" s="76">
        <v>23323239</v>
      </c>
      <c r="BH28" s="76">
        <v>17202043</v>
      </c>
      <c r="BI28" s="75">
        <v>0.79463554442746198</v>
      </c>
    </row>
    <row r="29" spans="1:61" s="64" customFormat="1" ht="16" customHeight="1" x14ac:dyDescent="0.15">
      <c r="A29" s="58">
        <v>25</v>
      </c>
      <c r="B29" s="77">
        <v>9.3000000000000007</v>
      </c>
      <c r="C29" s="76">
        <v>23555929</v>
      </c>
      <c r="D29" s="76">
        <v>18336059</v>
      </c>
      <c r="E29" s="75">
        <v>0.84278676180039003</v>
      </c>
      <c r="F29" s="77">
        <v>9.6999999999999993</v>
      </c>
      <c r="G29" s="76">
        <v>22155112</v>
      </c>
      <c r="H29" s="76">
        <v>17636214</v>
      </c>
      <c r="I29" s="75">
        <v>0.84147618018154902</v>
      </c>
      <c r="J29" s="77">
        <v>8.8000000000000007</v>
      </c>
      <c r="K29" s="76">
        <v>30892250</v>
      </c>
      <c r="L29" s="76">
        <v>23924198</v>
      </c>
      <c r="M29" s="75">
        <v>0.83325716219423296</v>
      </c>
      <c r="N29" s="77">
        <v>9.6</v>
      </c>
      <c r="O29" s="76">
        <v>34380783</v>
      </c>
      <c r="P29" s="76">
        <v>27442853</v>
      </c>
      <c r="Q29" s="75">
        <v>0.83478824576081001</v>
      </c>
      <c r="R29" s="77">
        <v>8.8000000000000007</v>
      </c>
      <c r="S29" s="76">
        <v>23833936</v>
      </c>
      <c r="T29" s="76">
        <v>18425039</v>
      </c>
      <c r="U29" s="75">
        <v>0.81018395336129301</v>
      </c>
      <c r="V29" s="77">
        <v>8.6999999999999993</v>
      </c>
      <c r="W29" s="76">
        <v>26473886</v>
      </c>
      <c r="X29" s="76">
        <v>19184467</v>
      </c>
      <c r="Y29" s="75">
        <v>0.80400725667617001</v>
      </c>
      <c r="Z29" s="77">
        <v>9.6</v>
      </c>
      <c r="AA29" s="76">
        <v>36883581</v>
      </c>
      <c r="AB29" s="76">
        <v>28617036</v>
      </c>
      <c r="AC29" s="75">
        <v>0.830440015127065</v>
      </c>
      <c r="AD29" s="77">
        <v>8.9</v>
      </c>
      <c r="AE29" s="76">
        <v>24635445</v>
      </c>
      <c r="AF29" s="76">
        <v>19172574</v>
      </c>
      <c r="AG29" s="75">
        <v>0.83003915812859197</v>
      </c>
      <c r="AH29" s="80">
        <v>7.7</v>
      </c>
      <c r="AI29" s="76">
        <v>25244609</v>
      </c>
      <c r="AJ29" s="76">
        <v>19594424</v>
      </c>
      <c r="AK29" s="75">
        <v>0.81398244861841795</v>
      </c>
      <c r="AL29" s="77">
        <v>9</v>
      </c>
      <c r="AM29" s="76">
        <v>23950185</v>
      </c>
      <c r="AN29" s="76">
        <v>18879156</v>
      </c>
      <c r="AO29" s="75">
        <v>0.82993848553281802</v>
      </c>
      <c r="AP29" s="77">
        <v>9.1999999999999993</v>
      </c>
      <c r="AQ29" s="76">
        <v>23798014</v>
      </c>
      <c r="AR29" s="76">
        <v>18301202</v>
      </c>
      <c r="AS29" s="75">
        <v>0.82085934830560203</v>
      </c>
      <c r="AT29" s="77">
        <v>8.6</v>
      </c>
      <c r="AU29" s="76">
        <v>25212014</v>
      </c>
      <c r="AV29" s="76">
        <v>18784828</v>
      </c>
      <c r="AW29" s="75">
        <v>0.81352716865657504</v>
      </c>
      <c r="AX29" s="77">
        <v>9.1</v>
      </c>
      <c r="AY29" s="76">
        <v>26607686</v>
      </c>
      <c r="AZ29" s="76">
        <v>19837882</v>
      </c>
      <c r="BA29" s="75">
        <v>0.80671812565057199</v>
      </c>
      <c r="BB29" s="77">
        <v>8.8000000000000007</v>
      </c>
      <c r="BC29" s="76">
        <v>39162513</v>
      </c>
      <c r="BD29" s="76">
        <v>29377275</v>
      </c>
      <c r="BE29" s="75">
        <v>0.82372412630527703</v>
      </c>
      <c r="BF29" s="77">
        <v>9.1</v>
      </c>
      <c r="BG29" s="76">
        <v>31823164</v>
      </c>
      <c r="BH29" s="76">
        <v>24438618</v>
      </c>
      <c r="BI29" s="75">
        <v>0.80946980869563501</v>
      </c>
    </row>
    <row r="30" spans="1:61" s="64" customFormat="1" ht="16" customHeight="1" x14ac:dyDescent="0.15">
      <c r="A30" s="58">
        <v>26</v>
      </c>
      <c r="B30" s="77">
        <v>9.4</v>
      </c>
      <c r="C30" s="76">
        <v>24780769</v>
      </c>
      <c r="D30" s="76">
        <v>19242080</v>
      </c>
      <c r="E30" s="75">
        <v>0.837690791860911</v>
      </c>
      <c r="F30" s="77">
        <v>9.5</v>
      </c>
      <c r="G30" s="76">
        <v>31375755</v>
      </c>
      <c r="H30" s="76">
        <v>24914496</v>
      </c>
      <c r="I30" s="75">
        <v>0.83966151199894301</v>
      </c>
      <c r="J30" s="77">
        <v>9.1</v>
      </c>
      <c r="K30" s="76">
        <v>28664285</v>
      </c>
      <c r="L30" s="76">
        <v>22321615</v>
      </c>
      <c r="M30" s="75">
        <v>0.83098190906067304</v>
      </c>
      <c r="N30" s="77">
        <v>9.5</v>
      </c>
      <c r="O30" s="76">
        <v>24433534</v>
      </c>
      <c r="P30" s="76">
        <v>19176621</v>
      </c>
      <c r="Q30" s="75">
        <v>0.82116925130767904</v>
      </c>
      <c r="R30" s="77">
        <v>8.8000000000000007</v>
      </c>
      <c r="S30" s="76">
        <v>23930083</v>
      </c>
      <c r="T30" s="76">
        <v>17860237</v>
      </c>
      <c r="U30" s="75">
        <v>0.78433195192908201</v>
      </c>
      <c r="V30" s="77">
        <v>8.9</v>
      </c>
      <c r="W30" s="76">
        <v>23622648</v>
      </c>
      <c r="X30" s="76">
        <v>17111807</v>
      </c>
      <c r="Y30" s="75">
        <v>0.80081339260380202</v>
      </c>
      <c r="Z30" s="77">
        <v>9.4</v>
      </c>
      <c r="AA30" s="76">
        <v>35795750</v>
      </c>
      <c r="AB30" s="76">
        <v>27775487</v>
      </c>
      <c r="AC30" s="75">
        <v>0.82938763748856004</v>
      </c>
      <c r="AD30" s="77">
        <v>9</v>
      </c>
      <c r="AE30" s="76">
        <v>36671351</v>
      </c>
      <c r="AF30" s="76">
        <v>28020006</v>
      </c>
      <c r="AG30" s="75">
        <v>0.83026333505746797</v>
      </c>
      <c r="AH30" s="80">
        <v>7.9</v>
      </c>
      <c r="AI30" s="76">
        <v>22304106</v>
      </c>
      <c r="AJ30" s="76">
        <v>17041355</v>
      </c>
      <c r="AK30" s="75">
        <v>0.80124023442688397</v>
      </c>
      <c r="AL30" s="77">
        <v>9.1</v>
      </c>
      <c r="AM30" s="76">
        <v>28783126</v>
      </c>
      <c r="AN30" s="76">
        <v>22643282</v>
      </c>
      <c r="AO30" s="75">
        <v>0.82794955870724796</v>
      </c>
      <c r="AP30" s="77">
        <v>9.1999999999999993</v>
      </c>
      <c r="AQ30" s="76">
        <v>26431450</v>
      </c>
      <c r="AR30" s="76">
        <v>19707510</v>
      </c>
      <c r="AS30" s="75">
        <v>0.79894020630342499</v>
      </c>
      <c r="AT30" s="77">
        <v>9.1</v>
      </c>
      <c r="AU30" s="76">
        <v>25991774</v>
      </c>
      <c r="AV30" s="76">
        <v>19393392</v>
      </c>
      <c r="AW30" s="75">
        <v>0.80972667799027997</v>
      </c>
      <c r="AX30" s="77">
        <v>9.1</v>
      </c>
      <c r="AY30" s="76">
        <v>24812802</v>
      </c>
      <c r="AZ30" s="76">
        <v>18650457</v>
      </c>
      <c r="BA30" s="75">
        <v>0.80932258625561804</v>
      </c>
      <c r="BB30" s="77">
        <v>9</v>
      </c>
      <c r="BC30" s="76">
        <v>23671925</v>
      </c>
      <c r="BD30" s="76">
        <v>18293325</v>
      </c>
      <c r="BE30" s="75">
        <v>0.81801942293204899</v>
      </c>
      <c r="BF30" s="77">
        <v>9.1</v>
      </c>
      <c r="BG30" s="76">
        <v>27193023</v>
      </c>
      <c r="BH30" s="76">
        <v>20648360</v>
      </c>
      <c r="BI30" s="75">
        <v>0.79894442739593396</v>
      </c>
    </row>
    <row r="31" spans="1:61" ht="16" customHeight="1" x14ac:dyDescent="0.15">
      <c r="A31" s="58">
        <v>27</v>
      </c>
      <c r="B31" s="77">
        <v>9.4</v>
      </c>
      <c r="C31" s="76">
        <v>38623157</v>
      </c>
      <c r="D31" s="76">
        <v>21760709</v>
      </c>
      <c r="E31" s="75">
        <v>0.84698816578895098</v>
      </c>
      <c r="F31" s="77">
        <v>8.9</v>
      </c>
      <c r="G31" s="76">
        <v>26841702</v>
      </c>
      <c r="H31" s="76">
        <v>18637059</v>
      </c>
      <c r="I31" s="75">
        <v>0.83728266806104001</v>
      </c>
      <c r="J31" s="77">
        <v>8.9</v>
      </c>
      <c r="K31" s="76">
        <v>38720202</v>
      </c>
      <c r="L31" s="76">
        <v>22248951</v>
      </c>
      <c r="M31" s="75">
        <v>0.84284403608209302</v>
      </c>
      <c r="N31" s="77">
        <v>9.1999999999999993</v>
      </c>
      <c r="O31" s="76">
        <v>49297524</v>
      </c>
      <c r="P31" s="76">
        <v>18886523</v>
      </c>
      <c r="Q31" s="75">
        <v>0.81274595309037401</v>
      </c>
      <c r="R31" s="77">
        <v>8.6999999999999993</v>
      </c>
      <c r="S31" s="76">
        <v>40604085</v>
      </c>
      <c r="T31" s="76">
        <v>22932649</v>
      </c>
      <c r="U31" s="75">
        <v>0.80208553825999196</v>
      </c>
      <c r="V31" s="77">
        <v>9.1999999999999993</v>
      </c>
      <c r="W31" s="76">
        <v>33187371</v>
      </c>
      <c r="X31" s="76">
        <v>17912591</v>
      </c>
      <c r="Y31" s="75">
        <v>0.80178301312755496</v>
      </c>
      <c r="Z31" s="77">
        <v>9.6</v>
      </c>
      <c r="AA31" s="76">
        <v>50486316</v>
      </c>
      <c r="AB31" s="76">
        <v>30738510</v>
      </c>
      <c r="AC31" s="75">
        <v>0.82945587539576504</v>
      </c>
      <c r="AD31" s="77">
        <v>9.1999999999999993</v>
      </c>
      <c r="AE31" s="76">
        <v>23904349</v>
      </c>
      <c r="AF31" s="76">
        <v>16918728</v>
      </c>
      <c r="AG31" s="75">
        <v>0.83113361934273899</v>
      </c>
      <c r="AH31" s="80">
        <v>8.6999999999999993</v>
      </c>
      <c r="AI31" s="76">
        <v>28958805</v>
      </c>
      <c r="AJ31" s="76">
        <v>19353292</v>
      </c>
      <c r="AK31" s="75">
        <v>0.79686361715943899</v>
      </c>
      <c r="AL31" s="77">
        <v>8.6</v>
      </c>
      <c r="AM31" s="76">
        <v>27521446</v>
      </c>
      <c r="AN31" s="76">
        <v>18543258</v>
      </c>
      <c r="AO31" s="75">
        <v>0.83212935857195103</v>
      </c>
      <c r="AP31" s="77">
        <v>9.5</v>
      </c>
      <c r="AQ31" s="76">
        <v>27169446</v>
      </c>
      <c r="AR31" s="76">
        <v>20277777</v>
      </c>
      <c r="AS31" s="75">
        <v>0.78912873127968197</v>
      </c>
      <c r="AT31" s="77" t="s">
        <v>22</v>
      </c>
      <c r="AU31" s="76">
        <v>26629984</v>
      </c>
      <c r="AV31" s="76">
        <v>20096834</v>
      </c>
      <c r="AW31" s="75">
        <v>0.82002459726878996</v>
      </c>
      <c r="AX31" s="77">
        <v>9.5</v>
      </c>
      <c r="AY31" s="76">
        <v>41239752</v>
      </c>
      <c r="AZ31" s="76">
        <v>21718468</v>
      </c>
      <c r="BA31" s="75">
        <v>0.81492006259717997</v>
      </c>
      <c r="BB31" s="77">
        <v>9.1</v>
      </c>
      <c r="BC31" s="76">
        <v>33421105</v>
      </c>
      <c r="BD31" s="76">
        <v>19893176</v>
      </c>
      <c r="BE31" s="75">
        <v>0.82212943070034705</v>
      </c>
      <c r="BF31" s="77">
        <v>9.3000000000000007</v>
      </c>
      <c r="BG31" s="76">
        <v>25150745</v>
      </c>
      <c r="BH31" s="76">
        <v>18699254</v>
      </c>
      <c r="BI31" s="75">
        <v>0.798138734509515</v>
      </c>
    </row>
    <row r="32" spans="1:61" ht="16" customHeight="1" x14ac:dyDescent="0.15">
      <c r="A32" s="58">
        <v>28</v>
      </c>
      <c r="B32" s="77">
        <v>9.3000000000000007</v>
      </c>
      <c r="C32" s="76">
        <v>24441457</v>
      </c>
      <c r="D32" s="76">
        <v>18993011</v>
      </c>
      <c r="E32" s="75">
        <v>0.836888524909151</v>
      </c>
      <c r="F32" s="77">
        <v>9.1999999999999993</v>
      </c>
      <c r="G32" s="76">
        <v>25151930</v>
      </c>
      <c r="H32" s="76">
        <v>19878665</v>
      </c>
      <c r="I32" s="75">
        <v>0.834784540784546</v>
      </c>
      <c r="J32" s="77">
        <v>8.9</v>
      </c>
      <c r="K32" s="76">
        <v>27601871</v>
      </c>
      <c r="L32" s="76">
        <v>21758257</v>
      </c>
      <c r="M32" s="75">
        <v>0.840285404791841</v>
      </c>
      <c r="N32" s="77">
        <v>9</v>
      </c>
      <c r="O32" s="76">
        <v>36811386</v>
      </c>
      <c r="P32" s="76">
        <v>17572786</v>
      </c>
      <c r="Q32" s="75">
        <v>0.81234883265211499</v>
      </c>
      <c r="R32" s="77">
        <v>8.6999999999999993</v>
      </c>
      <c r="S32" s="76">
        <v>24558390</v>
      </c>
      <c r="T32" s="76">
        <v>19355890</v>
      </c>
      <c r="U32" s="75">
        <v>0.82055911611765997</v>
      </c>
      <c r="V32" s="77">
        <v>9.1</v>
      </c>
      <c r="W32" s="76">
        <v>24169478</v>
      </c>
      <c r="X32" s="76">
        <v>17622597</v>
      </c>
      <c r="Y32" s="75">
        <v>0.80052724348768001</v>
      </c>
      <c r="Z32" s="77">
        <v>9.3000000000000007</v>
      </c>
      <c r="AA32" s="76">
        <v>31917025</v>
      </c>
      <c r="AB32" s="76">
        <v>24652110</v>
      </c>
      <c r="AC32" s="75">
        <v>0.83382033518129095</v>
      </c>
      <c r="AD32" s="77">
        <v>9.1</v>
      </c>
      <c r="AE32" s="76">
        <v>23855989</v>
      </c>
      <c r="AF32" s="76">
        <v>18807352</v>
      </c>
      <c r="AG32" s="75">
        <v>0.83789135113343505</v>
      </c>
      <c r="AH32" s="80">
        <v>9.1</v>
      </c>
      <c r="AI32" s="76">
        <v>24234321</v>
      </c>
      <c r="AJ32" s="76">
        <v>18149645</v>
      </c>
      <c r="AK32" s="75">
        <v>0.78315241799047197</v>
      </c>
      <c r="AL32" s="77">
        <v>8.8000000000000007</v>
      </c>
      <c r="AM32" s="76">
        <v>21734986</v>
      </c>
      <c r="AN32" s="76">
        <v>17098619</v>
      </c>
      <c r="AO32" s="75">
        <v>0.82588211575435999</v>
      </c>
      <c r="AP32" s="77">
        <v>9.1999999999999993</v>
      </c>
      <c r="AQ32" s="76">
        <v>24523194</v>
      </c>
      <c r="AR32" s="76">
        <v>18800879</v>
      </c>
      <c r="AS32" s="75">
        <v>0.80648406033042297</v>
      </c>
      <c r="AT32" s="77">
        <v>9.1</v>
      </c>
      <c r="AU32" s="76">
        <v>29972588</v>
      </c>
      <c r="AV32" s="76">
        <v>16719465</v>
      </c>
      <c r="AW32" s="75">
        <v>0.82521361969820295</v>
      </c>
      <c r="AX32" s="77">
        <v>9</v>
      </c>
      <c r="AY32" s="76">
        <v>26773852</v>
      </c>
      <c r="AZ32" s="76">
        <v>20273450</v>
      </c>
      <c r="BA32" s="75">
        <v>0.81314063535304404</v>
      </c>
      <c r="BB32" s="77">
        <v>9.1</v>
      </c>
      <c r="BC32" s="76">
        <v>27733223</v>
      </c>
      <c r="BD32" s="76">
        <v>21669563</v>
      </c>
      <c r="BE32" s="75">
        <v>0.82640194270535505</v>
      </c>
      <c r="BF32" s="77">
        <v>6.4</v>
      </c>
      <c r="BG32" s="76">
        <v>28921528</v>
      </c>
      <c r="BH32" s="76">
        <v>22408158</v>
      </c>
      <c r="BI32" s="75">
        <v>0.81264586714574005</v>
      </c>
    </row>
    <row r="33" spans="1:61" ht="16" customHeight="1" x14ac:dyDescent="0.15">
      <c r="A33" s="58">
        <v>29</v>
      </c>
      <c r="B33" s="77">
        <v>9.3000000000000007</v>
      </c>
      <c r="C33" s="76">
        <v>25827626</v>
      </c>
      <c r="D33" s="76">
        <v>19981282</v>
      </c>
      <c r="E33" s="75">
        <v>0.83543965180373603</v>
      </c>
      <c r="F33" s="77">
        <v>9.3000000000000007</v>
      </c>
      <c r="G33" s="76">
        <v>27484312</v>
      </c>
      <c r="H33" s="76">
        <v>21697125</v>
      </c>
      <c r="I33" s="75">
        <v>0.83354216267236303</v>
      </c>
      <c r="J33" s="77">
        <v>8.8000000000000007</v>
      </c>
      <c r="K33" s="76">
        <v>28334722</v>
      </c>
      <c r="L33" s="76">
        <v>22170030</v>
      </c>
      <c r="M33" s="75">
        <v>0.83549146352732295</v>
      </c>
      <c r="N33" s="77">
        <v>9.5</v>
      </c>
      <c r="O33" s="76">
        <v>35460572</v>
      </c>
      <c r="P33" s="76">
        <v>19642593</v>
      </c>
      <c r="Q33" s="75">
        <v>0.79221122822468004</v>
      </c>
      <c r="R33" s="77">
        <v>8.6999999999999993</v>
      </c>
      <c r="S33" s="76">
        <v>25177381</v>
      </c>
      <c r="T33" s="76">
        <v>19227441</v>
      </c>
      <c r="U33" s="75">
        <v>0.80174164129391401</v>
      </c>
      <c r="V33" s="77">
        <v>8.8000000000000007</v>
      </c>
      <c r="W33" s="76">
        <v>23416605</v>
      </c>
      <c r="X33" s="76">
        <v>16952019</v>
      </c>
      <c r="Y33" s="75">
        <v>0.80316313830243402</v>
      </c>
      <c r="Z33" s="77">
        <v>9.5</v>
      </c>
      <c r="AA33" s="76">
        <v>29472691</v>
      </c>
      <c r="AB33" s="76">
        <v>23278632</v>
      </c>
      <c r="AC33" s="75">
        <v>0.82854649953056903</v>
      </c>
      <c r="AD33" s="77">
        <v>8.9</v>
      </c>
      <c r="AE33" s="76">
        <v>26197346</v>
      </c>
      <c r="AF33" s="76">
        <v>20263329</v>
      </c>
      <c r="AG33" s="75">
        <v>0.83506461950922894</v>
      </c>
      <c r="AH33" s="80">
        <v>8.4</v>
      </c>
      <c r="AI33" s="76">
        <v>24990844</v>
      </c>
      <c r="AJ33" s="76">
        <v>19446278</v>
      </c>
      <c r="AK33" s="75">
        <v>0.81554769162119101</v>
      </c>
      <c r="AL33" s="77">
        <v>8.1999999999999993</v>
      </c>
      <c r="AM33" s="76">
        <v>24747742</v>
      </c>
      <c r="AN33" s="76">
        <v>19383349</v>
      </c>
      <c r="AO33" s="75">
        <v>0.82485389884646798</v>
      </c>
      <c r="AP33" s="77">
        <v>8.8000000000000007</v>
      </c>
      <c r="AQ33" s="76">
        <v>22959295</v>
      </c>
      <c r="AR33" s="76">
        <v>17204118</v>
      </c>
      <c r="AS33" s="75">
        <v>0.81853365582818005</v>
      </c>
      <c r="AT33" s="77">
        <v>8.9</v>
      </c>
      <c r="AU33" s="76">
        <v>25880315</v>
      </c>
      <c r="AV33" s="76">
        <v>19416135</v>
      </c>
      <c r="AW33" s="75">
        <v>0.81321049930551303</v>
      </c>
      <c r="AX33" s="77">
        <v>9</v>
      </c>
      <c r="AY33" s="76">
        <v>24491367</v>
      </c>
      <c r="AZ33" s="76">
        <v>18419234</v>
      </c>
      <c r="BA33" s="75">
        <v>0.81128011672348699</v>
      </c>
      <c r="BB33" s="77">
        <v>8.9</v>
      </c>
      <c r="BC33" s="76">
        <v>33673916</v>
      </c>
      <c r="BD33" s="76">
        <v>25952794</v>
      </c>
      <c r="BE33" s="75">
        <v>0.81543340222453897</v>
      </c>
      <c r="BF33" s="77">
        <v>9.3000000000000007</v>
      </c>
      <c r="BG33" s="76">
        <v>34638241</v>
      </c>
      <c r="BH33" s="76">
        <v>23286303</v>
      </c>
      <c r="BI33" s="75">
        <v>0.80574179927214296</v>
      </c>
    </row>
    <row r="34" spans="1:61" ht="16" customHeight="1" x14ac:dyDescent="0.15">
      <c r="A34" s="58">
        <v>30</v>
      </c>
      <c r="B34" s="77">
        <v>9.5</v>
      </c>
      <c r="C34" s="76">
        <v>28678704</v>
      </c>
      <c r="D34" s="76">
        <v>22258093</v>
      </c>
      <c r="E34" s="75">
        <v>0.84083804661044503</v>
      </c>
      <c r="F34" s="77">
        <v>10</v>
      </c>
      <c r="G34" s="76">
        <v>25655375</v>
      </c>
      <c r="H34" s="76">
        <v>20172480</v>
      </c>
      <c r="I34" s="75">
        <v>0.83180064968962897</v>
      </c>
      <c r="J34" s="77">
        <v>9.1</v>
      </c>
      <c r="K34" s="76">
        <v>30128201</v>
      </c>
      <c r="L34" s="76">
        <v>23362231</v>
      </c>
      <c r="M34" s="75">
        <v>0.82682978432137799</v>
      </c>
      <c r="N34" s="77">
        <v>9.5</v>
      </c>
      <c r="O34" s="76">
        <v>34285748</v>
      </c>
      <c r="P34" s="76">
        <v>19601581</v>
      </c>
      <c r="Q34" s="75">
        <v>0.79540301443166705</v>
      </c>
      <c r="R34" s="77">
        <v>8.9</v>
      </c>
      <c r="S34" s="76">
        <v>31511869</v>
      </c>
      <c r="T34" s="76">
        <v>24193984</v>
      </c>
      <c r="U34" s="75">
        <v>0.80083617493988801</v>
      </c>
      <c r="V34" s="77">
        <v>8.8000000000000007</v>
      </c>
      <c r="W34" s="76">
        <v>26852645</v>
      </c>
      <c r="X34" s="76">
        <v>19129321</v>
      </c>
      <c r="Y34" s="75">
        <v>0.79250891334885498</v>
      </c>
      <c r="Z34" s="77">
        <v>8.1</v>
      </c>
      <c r="AA34" s="76">
        <v>22572462</v>
      </c>
      <c r="AB34" s="76">
        <v>17552685</v>
      </c>
      <c r="AC34" s="75">
        <v>0.82030337048248503</v>
      </c>
      <c r="AD34" s="77">
        <v>8.6999999999999993</v>
      </c>
      <c r="AE34" s="76">
        <v>30548640</v>
      </c>
      <c r="AF34" s="76">
        <v>23823738</v>
      </c>
      <c r="AG34" s="75">
        <v>0.82412699831547498</v>
      </c>
      <c r="AH34" s="80">
        <v>8.6999999999999993</v>
      </c>
      <c r="AI34" s="76">
        <v>25132723</v>
      </c>
      <c r="AJ34" s="76">
        <v>19333707</v>
      </c>
      <c r="AK34" s="75">
        <v>0.80589650571418203</v>
      </c>
      <c r="AL34" s="77">
        <v>9</v>
      </c>
      <c r="AM34" s="76">
        <v>22098335</v>
      </c>
      <c r="AN34" s="76">
        <v>17531321</v>
      </c>
      <c r="AO34" s="75">
        <v>0.83226081211900704</v>
      </c>
      <c r="AP34" s="77">
        <v>8.9</v>
      </c>
      <c r="AQ34" s="76">
        <v>36815948</v>
      </c>
      <c r="AR34" s="76">
        <v>27751294</v>
      </c>
      <c r="AS34" s="75">
        <v>0.80327211459874803</v>
      </c>
      <c r="AT34" s="77">
        <v>9</v>
      </c>
      <c r="AU34" s="76">
        <v>25355248</v>
      </c>
      <c r="AV34" s="76">
        <v>19198148</v>
      </c>
      <c r="AW34" s="75">
        <v>0.82207617638780595</v>
      </c>
      <c r="AX34" s="77">
        <v>9.1999999999999993</v>
      </c>
      <c r="AY34" s="76">
        <v>25442363</v>
      </c>
      <c r="AZ34" s="76">
        <v>19119267</v>
      </c>
      <c r="BA34" s="75">
        <v>0.81223102843181005</v>
      </c>
      <c r="BB34" s="77">
        <v>9.1</v>
      </c>
      <c r="BC34" s="76">
        <v>23027421</v>
      </c>
      <c r="BD34" s="76">
        <v>17563938</v>
      </c>
      <c r="BE34" s="75">
        <v>0.81871885801834099</v>
      </c>
      <c r="BF34" s="77">
        <v>9.3000000000000007</v>
      </c>
      <c r="BG34" s="76">
        <v>23332990</v>
      </c>
      <c r="BH34" s="76">
        <v>18036146</v>
      </c>
      <c r="BI34" s="75">
        <v>0.81004048642636295</v>
      </c>
    </row>
    <row r="35" spans="1:61" ht="16" customHeight="1" x14ac:dyDescent="0.15">
      <c r="A35" s="58">
        <v>31</v>
      </c>
      <c r="B35" s="77">
        <v>8.9</v>
      </c>
      <c r="C35" s="76">
        <v>26120552</v>
      </c>
      <c r="D35" s="76">
        <v>20197423</v>
      </c>
      <c r="E35" s="75">
        <v>0.83752858068106695</v>
      </c>
      <c r="F35" s="77">
        <v>9.5</v>
      </c>
      <c r="G35" s="76">
        <v>28156504</v>
      </c>
      <c r="H35" s="76">
        <v>22318076</v>
      </c>
      <c r="I35" s="75">
        <v>0.83791945435627802</v>
      </c>
      <c r="J35" s="77">
        <v>8.5</v>
      </c>
      <c r="K35" s="76">
        <v>24223171</v>
      </c>
      <c r="L35" s="76">
        <v>19211540</v>
      </c>
      <c r="M35" s="75">
        <v>0.83601040468842003</v>
      </c>
      <c r="N35" s="77">
        <v>9.1999999999999993</v>
      </c>
      <c r="O35" s="76">
        <v>35432049</v>
      </c>
      <c r="P35" s="76">
        <v>19585310</v>
      </c>
      <c r="Q35" s="75">
        <v>0.79905775915030097</v>
      </c>
      <c r="R35" s="77">
        <v>8.6</v>
      </c>
      <c r="S35" s="76">
        <v>23910513</v>
      </c>
      <c r="T35" s="76">
        <v>18147078</v>
      </c>
      <c r="U35" s="75">
        <v>0.80187512568599495</v>
      </c>
      <c r="V35" s="77">
        <v>8.5</v>
      </c>
      <c r="W35" s="76">
        <v>26785920</v>
      </c>
      <c r="X35" s="76">
        <v>19110370</v>
      </c>
      <c r="Y35" s="75">
        <v>0.79246238965869498</v>
      </c>
      <c r="Z35" s="77">
        <v>8.8000000000000007</v>
      </c>
      <c r="AA35" s="76">
        <v>17813464</v>
      </c>
      <c r="AB35" s="76">
        <v>13855463</v>
      </c>
      <c r="AC35" s="75">
        <v>0.82382490996795399</v>
      </c>
      <c r="AD35" s="77">
        <v>7.8</v>
      </c>
      <c r="AE35" s="76">
        <v>25259686</v>
      </c>
      <c r="AF35" s="76">
        <v>19829647</v>
      </c>
      <c r="AG35" s="75">
        <v>0.82656574576377495</v>
      </c>
      <c r="AH35" s="80">
        <v>7.5</v>
      </c>
      <c r="AI35" s="76">
        <v>23324151</v>
      </c>
      <c r="AJ35" s="76">
        <v>17792895</v>
      </c>
      <c r="AK35" s="75">
        <v>0.80046574217643895</v>
      </c>
      <c r="AL35" s="77">
        <v>9.1</v>
      </c>
      <c r="AM35" s="76">
        <v>22151900</v>
      </c>
      <c r="AN35" s="76">
        <v>17623165</v>
      </c>
      <c r="AO35" s="75">
        <v>0.83456965108278003</v>
      </c>
      <c r="AP35" s="77">
        <v>8.6999999999999993</v>
      </c>
      <c r="AQ35" s="76">
        <v>23740091</v>
      </c>
      <c r="AR35" s="76">
        <v>17699467</v>
      </c>
      <c r="AS35" s="75">
        <v>0.81419017976112495</v>
      </c>
      <c r="AT35" s="77">
        <v>9</v>
      </c>
      <c r="AU35" s="76">
        <v>26602668</v>
      </c>
      <c r="AV35" s="76">
        <v>20119643</v>
      </c>
      <c r="AW35" s="75">
        <v>0.821713041523914</v>
      </c>
      <c r="AX35" s="77">
        <v>9.4</v>
      </c>
      <c r="AY35" s="76">
        <v>26879775</v>
      </c>
      <c r="AZ35" s="76">
        <v>20081823</v>
      </c>
      <c r="BA35" s="75">
        <v>0.807257997540338</v>
      </c>
      <c r="BB35" s="77">
        <v>8.8000000000000007</v>
      </c>
      <c r="BC35" s="76">
        <v>29909482</v>
      </c>
      <c r="BD35" s="76">
        <v>23158920</v>
      </c>
      <c r="BE35" s="75">
        <v>0.81880569004567305</v>
      </c>
      <c r="BF35" s="77">
        <v>8.8000000000000007</v>
      </c>
      <c r="BG35" s="76">
        <v>29979387</v>
      </c>
      <c r="BH35" s="76">
        <v>23248778</v>
      </c>
      <c r="BI35" s="75">
        <v>0.813215214464868</v>
      </c>
    </row>
    <row r="36" spans="1:61" ht="16" customHeight="1" x14ac:dyDescent="0.15">
      <c r="A36" s="58">
        <v>32</v>
      </c>
      <c r="B36" s="80">
        <v>9.1999999999999993</v>
      </c>
      <c r="C36" s="79">
        <v>24577373</v>
      </c>
      <c r="D36" s="79">
        <v>18982969</v>
      </c>
      <c r="E36" s="78">
        <v>0.83646321992554395</v>
      </c>
      <c r="F36" s="80">
        <v>9.4</v>
      </c>
      <c r="G36" s="79">
        <v>26885909</v>
      </c>
      <c r="H36" s="79">
        <v>21424330</v>
      </c>
      <c r="I36" s="78">
        <v>0.84073368895224099</v>
      </c>
      <c r="J36" s="80">
        <v>8.9</v>
      </c>
      <c r="K36" s="79">
        <v>23703322</v>
      </c>
      <c r="L36" s="79">
        <v>18632150</v>
      </c>
      <c r="M36" s="78">
        <v>0.826236926409188</v>
      </c>
      <c r="N36" s="80">
        <v>9.4</v>
      </c>
      <c r="O36" s="79">
        <v>36005768</v>
      </c>
      <c r="P36" s="79">
        <v>19818415</v>
      </c>
      <c r="Q36" s="78">
        <v>0.80253815904403702</v>
      </c>
      <c r="R36" s="80">
        <v>8.8000000000000007</v>
      </c>
      <c r="S36" s="79">
        <v>26001851</v>
      </c>
      <c r="T36" s="79">
        <v>20092229</v>
      </c>
      <c r="U36" s="78">
        <v>0.80588186785661398</v>
      </c>
      <c r="V36" s="80">
        <v>9</v>
      </c>
      <c r="W36" s="79">
        <v>25007735</v>
      </c>
      <c r="X36" s="79">
        <v>18233799</v>
      </c>
      <c r="Y36" s="78">
        <v>0.80674615169791097</v>
      </c>
      <c r="Z36" s="80">
        <v>9</v>
      </c>
      <c r="AA36" s="79">
        <v>41400707</v>
      </c>
      <c r="AB36" s="79">
        <v>33093888</v>
      </c>
      <c r="AC36" s="78">
        <v>0.83186008254078803</v>
      </c>
      <c r="AD36" s="80">
        <v>9</v>
      </c>
      <c r="AE36" s="79">
        <v>21368988</v>
      </c>
      <c r="AF36" s="79">
        <v>16569919</v>
      </c>
      <c r="AG36" s="78">
        <v>0.82009035192887003</v>
      </c>
      <c r="AH36" s="80">
        <v>7.8</v>
      </c>
      <c r="AI36" s="79">
        <v>22858590</v>
      </c>
      <c r="AJ36" s="79">
        <v>17339823</v>
      </c>
      <c r="AK36" s="78">
        <v>0.79451865424211299</v>
      </c>
      <c r="AL36" s="80">
        <v>8.9</v>
      </c>
      <c r="AM36" s="79">
        <v>22396080</v>
      </c>
      <c r="AN36" s="79">
        <v>17644634</v>
      </c>
      <c r="AO36" s="78">
        <v>0.82849377130674795</v>
      </c>
      <c r="AP36" s="80">
        <v>8.9</v>
      </c>
      <c r="AQ36" s="79">
        <v>25868033</v>
      </c>
      <c r="AR36" s="79">
        <v>19243601</v>
      </c>
      <c r="AS36" s="78">
        <v>0.81368587640530099</v>
      </c>
      <c r="AT36" s="80">
        <v>8.6</v>
      </c>
      <c r="AU36" s="79">
        <v>26501447</v>
      </c>
      <c r="AV36" s="79">
        <v>19914584</v>
      </c>
      <c r="AW36" s="78">
        <v>0.81394047790319002</v>
      </c>
      <c r="AX36" s="80">
        <v>9.1999999999999993</v>
      </c>
      <c r="AY36" s="79">
        <v>27222281</v>
      </c>
      <c r="AZ36" s="79">
        <v>20540392</v>
      </c>
      <c r="BA36" s="78">
        <v>0.81533385875186004</v>
      </c>
      <c r="BB36" s="80">
        <v>9.1</v>
      </c>
      <c r="BC36" s="79">
        <v>23247102</v>
      </c>
      <c r="BD36" s="79">
        <v>17985127</v>
      </c>
      <c r="BE36" s="78">
        <v>0.81867893964778804</v>
      </c>
      <c r="BF36" s="80">
        <v>8.9</v>
      </c>
      <c r="BG36" s="79">
        <v>28336162</v>
      </c>
      <c r="BH36" s="79">
        <v>21925496</v>
      </c>
      <c r="BI36" s="78">
        <v>0.813899250943796</v>
      </c>
    </row>
    <row r="37" spans="1:61" ht="16" customHeight="1" x14ac:dyDescent="0.15">
      <c r="A37" s="58">
        <v>33</v>
      </c>
      <c r="B37" s="77">
        <v>9.6</v>
      </c>
      <c r="C37" s="76">
        <v>25918566</v>
      </c>
      <c r="D37" s="76">
        <v>20106002</v>
      </c>
      <c r="E37" s="75">
        <v>0.84145508017258996</v>
      </c>
      <c r="F37" s="77">
        <v>9.5</v>
      </c>
      <c r="G37" s="76">
        <v>34796793</v>
      </c>
      <c r="H37" s="76">
        <v>27559479</v>
      </c>
      <c r="I37" s="75">
        <v>0.83511029436830797</v>
      </c>
      <c r="J37" s="77">
        <v>8.6</v>
      </c>
      <c r="K37" s="76">
        <v>29675283</v>
      </c>
      <c r="L37" s="76">
        <v>22576080</v>
      </c>
      <c r="M37" s="75">
        <v>0.80014579500703098</v>
      </c>
      <c r="N37" s="77">
        <v>9.6</v>
      </c>
      <c r="O37" s="76">
        <v>55634969</v>
      </c>
      <c r="P37" s="76">
        <v>40867003</v>
      </c>
      <c r="Q37" s="75">
        <v>0.82288715879518104</v>
      </c>
      <c r="R37" s="77">
        <v>8.8000000000000007</v>
      </c>
      <c r="S37" s="76">
        <v>23745593</v>
      </c>
      <c r="T37" s="76">
        <v>18390405</v>
      </c>
      <c r="U37" s="75">
        <v>0.81592256226873805</v>
      </c>
      <c r="V37" s="77">
        <v>9</v>
      </c>
      <c r="W37" s="76">
        <v>28142299</v>
      </c>
      <c r="X37" s="76">
        <v>20360854</v>
      </c>
      <c r="Y37" s="75">
        <v>0.80452187128996</v>
      </c>
      <c r="Z37" s="77">
        <v>8.1999999999999993</v>
      </c>
      <c r="AA37" s="76">
        <v>26133005</v>
      </c>
      <c r="AB37" s="76">
        <v>20079727</v>
      </c>
      <c r="AC37" s="75">
        <v>0.81179911887063605</v>
      </c>
      <c r="AD37" s="77">
        <v>9</v>
      </c>
      <c r="AE37" s="76">
        <v>24611931</v>
      </c>
      <c r="AF37" s="76">
        <v>19193702</v>
      </c>
      <c r="AG37" s="75">
        <v>0.83587529334369604</v>
      </c>
      <c r="AH37" s="80">
        <v>8.9</v>
      </c>
      <c r="AI37" s="76">
        <v>26743218</v>
      </c>
      <c r="AJ37" s="76">
        <v>20794545</v>
      </c>
      <c r="AK37" s="75">
        <v>0.81271320753714105</v>
      </c>
      <c r="AL37" s="77">
        <v>9.1</v>
      </c>
      <c r="AM37" s="76">
        <v>27751599</v>
      </c>
      <c r="AN37" s="76">
        <v>21854068</v>
      </c>
      <c r="AO37" s="75">
        <v>0.82825662944336698</v>
      </c>
      <c r="AP37" s="77">
        <v>6.8</v>
      </c>
      <c r="AQ37" s="76">
        <v>26773717</v>
      </c>
      <c r="AR37" s="76">
        <v>20181598</v>
      </c>
      <c r="AS37" s="75">
        <v>0.79983286481291105</v>
      </c>
      <c r="AT37" s="77">
        <v>9.1</v>
      </c>
      <c r="AU37" s="76">
        <v>27012526</v>
      </c>
      <c r="AV37" s="76">
        <v>20244613</v>
      </c>
      <c r="AW37" s="75">
        <v>0.81589613687456397</v>
      </c>
      <c r="AX37" s="77">
        <v>9.1999999999999993</v>
      </c>
      <c r="AY37" s="76">
        <v>29308916</v>
      </c>
      <c r="AZ37" s="76">
        <v>22032352</v>
      </c>
      <c r="BA37" s="75">
        <v>0.81051069009438703</v>
      </c>
      <c r="BB37" s="77">
        <v>8.9</v>
      </c>
      <c r="BC37" s="76">
        <v>25660022</v>
      </c>
      <c r="BD37" s="76">
        <v>19458392</v>
      </c>
      <c r="BE37" s="75">
        <v>0.81983984246988195</v>
      </c>
      <c r="BF37" s="77">
        <v>8.5</v>
      </c>
      <c r="BG37" s="76">
        <v>25140104</v>
      </c>
      <c r="BH37" s="76">
        <v>19396312</v>
      </c>
      <c r="BI37" s="75">
        <v>0.81155278437080602</v>
      </c>
    </row>
    <row r="38" spans="1:61" ht="16" customHeight="1" x14ac:dyDescent="0.15">
      <c r="A38" s="58">
        <v>34</v>
      </c>
      <c r="B38" s="77">
        <v>9.6</v>
      </c>
      <c r="C38" s="76">
        <v>25802507</v>
      </c>
      <c r="D38" s="76">
        <v>19898744</v>
      </c>
      <c r="E38" s="75">
        <v>0.83596306524070096</v>
      </c>
      <c r="F38" s="77">
        <v>9.4</v>
      </c>
      <c r="G38" s="76">
        <v>23392688</v>
      </c>
      <c r="H38" s="76">
        <v>18537598</v>
      </c>
      <c r="I38" s="75">
        <v>0.83849035534253102</v>
      </c>
      <c r="J38" s="77">
        <v>8.5</v>
      </c>
      <c r="K38" s="76">
        <v>40283791</v>
      </c>
      <c r="L38" s="76">
        <v>28980390</v>
      </c>
      <c r="M38" s="75">
        <v>0.847895131588013</v>
      </c>
      <c r="N38" s="77">
        <v>8.4</v>
      </c>
      <c r="O38" s="76">
        <v>21170836</v>
      </c>
      <c r="P38" s="76">
        <v>16950220</v>
      </c>
      <c r="Q38" s="75">
        <v>0.82921746760370096</v>
      </c>
      <c r="R38" s="77">
        <v>9.1</v>
      </c>
      <c r="S38" s="76">
        <v>23157709</v>
      </c>
      <c r="T38" s="76">
        <v>17753249</v>
      </c>
      <c r="U38" s="75">
        <v>0.80768716498775095</v>
      </c>
      <c r="V38" s="77">
        <v>9.1999999999999993</v>
      </c>
      <c r="W38" s="76">
        <v>36750511</v>
      </c>
      <c r="X38" s="76">
        <v>26225883</v>
      </c>
      <c r="Y38" s="75">
        <v>0.79768919729467003</v>
      </c>
      <c r="Z38" s="77">
        <v>8.8000000000000007</v>
      </c>
      <c r="AA38" s="76">
        <v>42301550</v>
      </c>
      <c r="AB38" s="76">
        <v>30518563</v>
      </c>
      <c r="AC38" s="75">
        <v>0.82310848881115795</v>
      </c>
      <c r="AD38" s="77">
        <v>8.9</v>
      </c>
      <c r="AE38" s="76">
        <v>26093652</v>
      </c>
      <c r="AF38" s="76">
        <v>20021808</v>
      </c>
      <c r="AG38" s="75">
        <v>0.82958154912063198</v>
      </c>
      <c r="AH38" s="80">
        <v>8.5</v>
      </c>
      <c r="AI38" s="76">
        <v>22128639</v>
      </c>
      <c r="AJ38" s="76">
        <v>16743657</v>
      </c>
      <c r="AK38" s="75">
        <v>0.79591966827001004</v>
      </c>
      <c r="AL38" s="77">
        <v>8.9</v>
      </c>
      <c r="AM38" s="76">
        <v>83258269</v>
      </c>
      <c r="AN38" s="76">
        <v>65606884</v>
      </c>
      <c r="AO38" s="75">
        <v>0.82372519583926296</v>
      </c>
      <c r="AP38" s="77">
        <v>9.1</v>
      </c>
      <c r="AQ38" s="76">
        <v>26775441</v>
      </c>
      <c r="AR38" s="76">
        <v>20109956</v>
      </c>
      <c r="AS38" s="75">
        <v>0.81225023048811895</v>
      </c>
      <c r="AT38" s="77" t="s">
        <v>22</v>
      </c>
      <c r="AU38" s="76">
        <v>26837609</v>
      </c>
      <c r="AV38" s="76">
        <v>19678860</v>
      </c>
      <c r="AW38" s="75">
        <v>0.80700971186648995</v>
      </c>
      <c r="AX38" s="77">
        <v>9</v>
      </c>
      <c r="AY38" s="76">
        <v>30207898</v>
      </c>
      <c r="AZ38" s="76">
        <v>22288756</v>
      </c>
      <c r="BA38" s="75">
        <v>0.80666518522486197</v>
      </c>
      <c r="BB38" s="77">
        <v>9.1</v>
      </c>
      <c r="BC38" s="76">
        <v>22953673</v>
      </c>
      <c r="BD38" s="76">
        <v>17322827</v>
      </c>
      <c r="BE38" s="75">
        <v>0.810969360800609</v>
      </c>
      <c r="BF38" s="77">
        <v>9.4</v>
      </c>
      <c r="BG38" s="76">
        <v>27006252</v>
      </c>
      <c r="BH38" s="76">
        <v>20774950</v>
      </c>
      <c r="BI38" s="75">
        <v>0.80879077293448998</v>
      </c>
    </row>
    <row r="39" spans="1:61" ht="16" customHeight="1" x14ac:dyDescent="0.15">
      <c r="A39" s="58">
        <v>35</v>
      </c>
      <c r="B39" s="80">
        <v>9.6</v>
      </c>
      <c r="C39" s="79">
        <v>26398328</v>
      </c>
      <c r="D39" s="79">
        <v>20340116</v>
      </c>
      <c r="E39" s="78">
        <v>0.83624734131187095</v>
      </c>
      <c r="F39" s="80">
        <v>9.5</v>
      </c>
      <c r="G39" s="79">
        <v>36443074</v>
      </c>
      <c r="H39" s="79">
        <v>28786690</v>
      </c>
      <c r="I39" s="78">
        <v>0.83241568638858898</v>
      </c>
      <c r="J39" s="80">
        <v>8.1</v>
      </c>
      <c r="K39" s="79">
        <v>25335083</v>
      </c>
      <c r="L39" s="79">
        <v>20031482</v>
      </c>
      <c r="M39" s="78">
        <v>0.83076523660231005</v>
      </c>
      <c r="N39" s="80">
        <v>9.1</v>
      </c>
      <c r="O39" s="79">
        <v>25369319</v>
      </c>
      <c r="P39" s="79">
        <v>18645712</v>
      </c>
      <c r="Q39" s="78">
        <v>0.82415239637966697</v>
      </c>
      <c r="R39" s="80">
        <v>8.6999999999999993</v>
      </c>
      <c r="S39" s="79">
        <v>22923691</v>
      </c>
      <c r="T39" s="79">
        <v>17581575</v>
      </c>
      <c r="U39" s="78">
        <v>0.80773925902947896</v>
      </c>
      <c r="V39" s="80">
        <v>8.9</v>
      </c>
      <c r="W39" s="79">
        <v>29780157</v>
      </c>
      <c r="X39" s="79">
        <v>21675046</v>
      </c>
      <c r="Y39" s="78">
        <v>0.80268732108535701</v>
      </c>
      <c r="Z39" s="80">
        <v>8.4</v>
      </c>
      <c r="AA39" s="79">
        <v>50595694</v>
      </c>
      <c r="AB39" s="79">
        <v>39680936</v>
      </c>
      <c r="AC39" s="78">
        <v>0.82608813049069996</v>
      </c>
      <c r="AD39" s="80">
        <v>9.1999999999999993</v>
      </c>
      <c r="AE39" s="79">
        <v>21424087</v>
      </c>
      <c r="AF39" s="79">
        <v>16967988</v>
      </c>
      <c r="AG39" s="78">
        <v>0.83639941037940502</v>
      </c>
      <c r="AH39" s="80">
        <v>7.2</v>
      </c>
      <c r="AI39" s="79">
        <v>27128656</v>
      </c>
      <c r="AJ39" s="79">
        <v>21297998</v>
      </c>
      <c r="AK39" s="78">
        <v>0.81639241608249502</v>
      </c>
      <c r="AL39" s="80">
        <v>9.1999999999999993</v>
      </c>
      <c r="AM39" s="79">
        <v>26746135</v>
      </c>
      <c r="AN39" s="79">
        <v>20382879</v>
      </c>
      <c r="AO39" s="78">
        <v>0.80599119592831803</v>
      </c>
      <c r="AP39" s="80">
        <v>8.9</v>
      </c>
      <c r="AQ39" s="79">
        <v>29150407</v>
      </c>
      <c r="AR39" s="79">
        <v>21265794</v>
      </c>
      <c r="AS39" s="78">
        <v>0.78571768224413396</v>
      </c>
      <c r="AT39" s="80" t="s">
        <v>22</v>
      </c>
      <c r="AU39" s="79">
        <v>28903107</v>
      </c>
      <c r="AV39" s="79">
        <v>21906868</v>
      </c>
      <c r="AW39" s="78">
        <v>0.82121812193814903</v>
      </c>
      <c r="AX39" s="80" t="s">
        <v>22</v>
      </c>
      <c r="AY39" s="79">
        <v>29736565</v>
      </c>
      <c r="AZ39" s="79">
        <v>22090602</v>
      </c>
      <c r="BA39" s="78">
        <v>0.80397454676487701</v>
      </c>
      <c r="BB39" s="80">
        <v>9.1999999999999993</v>
      </c>
      <c r="BC39" s="79">
        <v>27047473</v>
      </c>
      <c r="BD39" s="79">
        <v>20518279</v>
      </c>
      <c r="BE39" s="78">
        <v>0.81837577631068503</v>
      </c>
      <c r="BF39" s="80">
        <v>8.6999999999999993</v>
      </c>
      <c r="BG39" s="79">
        <v>26164495</v>
      </c>
      <c r="BH39" s="79">
        <v>20081374</v>
      </c>
      <c r="BI39" s="78">
        <v>0.80759435830984505</v>
      </c>
    </row>
    <row r="40" spans="1:61" ht="16" customHeight="1" x14ac:dyDescent="0.15">
      <c r="A40" s="58">
        <v>36</v>
      </c>
      <c r="B40" s="77">
        <v>9.4</v>
      </c>
      <c r="C40" s="76">
        <v>27209812</v>
      </c>
      <c r="D40" s="76">
        <v>21173598</v>
      </c>
      <c r="E40" s="75">
        <v>0.84297881739618996</v>
      </c>
      <c r="F40" s="77">
        <v>9.8000000000000007</v>
      </c>
      <c r="G40" s="76">
        <v>36201973</v>
      </c>
      <c r="H40" s="76">
        <v>28637963</v>
      </c>
      <c r="I40" s="75">
        <v>0.83264446776699697</v>
      </c>
      <c r="J40" s="77">
        <v>8.5</v>
      </c>
      <c r="K40" s="76">
        <v>27466979</v>
      </c>
      <c r="L40" s="76">
        <v>22178365</v>
      </c>
      <c r="M40" s="75">
        <v>0.85037392179457005</v>
      </c>
      <c r="N40" s="77">
        <v>9.1999999999999993</v>
      </c>
      <c r="O40" s="76">
        <v>42931518</v>
      </c>
      <c r="P40" s="76">
        <v>25901816</v>
      </c>
      <c r="Q40" s="75">
        <v>0.83028239835291195</v>
      </c>
      <c r="R40" s="77">
        <v>8.6999999999999993</v>
      </c>
      <c r="S40" s="76">
        <v>27393702</v>
      </c>
      <c r="T40" s="76">
        <v>20939891</v>
      </c>
      <c r="U40" s="75">
        <v>0.80170552827462405</v>
      </c>
      <c r="V40" s="77">
        <v>8.9</v>
      </c>
      <c r="W40" s="76">
        <v>36677317</v>
      </c>
      <c r="X40" s="76">
        <v>26683563</v>
      </c>
      <c r="Y40" s="75">
        <v>0.79360031344811099</v>
      </c>
      <c r="Z40" s="77">
        <v>9</v>
      </c>
      <c r="AA40" s="76">
        <v>28416043</v>
      </c>
      <c r="AB40" s="76">
        <v>20656383</v>
      </c>
      <c r="AC40" s="75">
        <v>0.83410164746961502</v>
      </c>
      <c r="AD40" s="77">
        <v>9</v>
      </c>
      <c r="AE40" s="76">
        <v>29398450</v>
      </c>
      <c r="AF40" s="76">
        <v>22511532</v>
      </c>
      <c r="AG40" s="75">
        <v>0.83265116805500194</v>
      </c>
      <c r="AH40" s="80">
        <v>7.5</v>
      </c>
      <c r="AI40" s="76">
        <v>27159132</v>
      </c>
      <c r="AJ40" s="76">
        <v>19479679</v>
      </c>
      <c r="AK40" s="75">
        <v>0.76759621157443803</v>
      </c>
      <c r="AL40" s="77">
        <v>9.3000000000000007</v>
      </c>
      <c r="AM40" s="76">
        <v>24720461</v>
      </c>
      <c r="AN40" s="76">
        <v>18719631</v>
      </c>
      <c r="AO40" s="75">
        <v>0.80446140225972995</v>
      </c>
      <c r="AP40" s="80" t="s">
        <v>22</v>
      </c>
      <c r="AQ40" s="79" t="s">
        <v>22</v>
      </c>
      <c r="AR40" s="79" t="s">
        <v>22</v>
      </c>
      <c r="AS40" s="78" t="s">
        <v>22</v>
      </c>
      <c r="AT40" s="77">
        <v>9.1</v>
      </c>
      <c r="AU40" s="76">
        <v>45429686</v>
      </c>
      <c r="AV40" s="76">
        <v>34507010</v>
      </c>
      <c r="AW40" s="75">
        <v>0.817466298210349</v>
      </c>
      <c r="AX40" s="77">
        <v>9.3000000000000007</v>
      </c>
      <c r="AY40" s="76">
        <v>29801774</v>
      </c>
      <c r="AZ40" s="76">
        <v>22199758</v>
      </c>
      <c r="BA40" s="75">
        <v>0.80516957872234196</v>
      </c>
      <c r="BB40" s="77">
        <v>9.1</v>
      </c>
      <c r="BC40" s="76">
        <v>36326221</v>
      </c>
      <c r="BD40" s="76">
        <v>26738550</v>
      </c>
      <c r="BE40" s="75">
        <v>0.815007994308656</v>
      </c>
      <c r="BF40" s="77">
        <v>8.4</v>
      </c>
      <c r="BG40" s="76">
        <v>25998110</v>
      </c>
      <c r="BH40" s="76">
        <v>19088194</v>
      </c>
      <c r="BI40" s="75">
        <v>0.79107891864489999</v>
      </c>
    </row>
    <row r="41" spans="1:61" ht="16" customHeight="1" x14ac:dyDescent="0.15">
      <c r="A41" s="58">
        <v>37</v>
      </c>
      <c r="B41" s="77">
        <v>9.1999999999999993</v>
      </c>
      <c r="C41" s="76">
        <v>25520995</v>
      </c>
      <c r="D41" s="76">
        <v>19647438</v>
      </c>
      <c r="E41" s="75">
        <v>0.83413370372284001</v>
      </c>
      <c r="F41" s="77">
        <v>9.6</v>
      </c>
      <c r="G41" s="76">
        <v>25231833</v>
      </c>
      <c r="H41" s="76">
        <v>19915598</v>
      </c>
      <c r="I41" s="75">
        <v>0.83579751552956605</v>
      </c>
      <c r="J41" s="77">
        <v>9</v>
      </c>
      <c r="K41" s="76">
        <v>29501416</v>
      </c>
      <c r="L41" s="76">
        <v>23171674</v>
      </c>
      <c r="M41" s="75">
        <v>0.84454189445235495</v>
      </c>
      <c r="N41" s="77">
        <v>9.4</v>
      </c>
      <c r="O41" s="76">
        <v>36128894</v>
      </c>
      <c r="P41" s="76">
        <v>17863866</v>
      </c>
      <c r="Q41" s="75">
        <v>0.83147452575481895</v>
      </c>
      <c r="R41" s="77">
        <v>8.6999999999999993</v>
      </c>
      <c r="S41" s="76">
        <v>23240873</v>
      </c>
      <c r="T41" s="76">
        <v>17620750</v>
      </c>
      <c r="U41" s="75">
        <v>0.79813693236398997</v>
      </c>
      <c r="V41" s="77">
        <v>8.9</v>
      </c>
      <c r="W41" s="76">
        <v>27951906</v>
      </c>
      <c r="X41" s="76">
        <v>19815758</v>
      </c>
      <c r="Y41" s="75">
        <v>0.79324968935744999</v>
      </c>
      <c r="Z41" s="77">
        <v>9.6</v>
      </c>
      <c r="AA41" s="76">
        <v>32945035</v>
      </c>
      <c r="AB41" s="76">
        <v>25301508</v>
      </c>
      <c r="AC41" s="75">
        <v>0.83189723439589403</v>
      </c>
      <c r="AD41" s="77">
        <v>9.1</v>
      </c>
      <c r="AE41" s="76">
        <v>24220390</v>
      </c>
      <c r="AF41" s="76">
        <v>18549077</v>
      </c>
      <c r="AG41" s="75">
        <v>0.82854944682973797</v>
      </c>
      <c r="AH41" s="80">
        <v>8.8000000000000007</v>
      </c>
      <c r="AI41" s="76">
        <v>25073900</v>
      </c>
      <c r="AJ41" s="76">
        <v>18545546</v>
      </c>
      <c r="AK41" s="75">
        <v>0.783021519516928</v>
      </c>
      <c r="AL41" s="77">
        <v>8.9</v>
      </c>
      <c r="AM41" s="76">
        <v>21975639</v>
      </c>
      <c r="AN41" s="76">
        <v>17159469</v>
      </c>
      <c r="AO41" s="75">
        <v>0.82381772017617905</v>
      </c>
      <c r="AP41" s="77">
        <v>9.3000000000000007</v>
      </c>
      <c r="AQ41" s="76">
        <v>23614320</v>
      </c>
      <c r="AR41" s="76">
        <v>18121872</v>
      </c>
      <c r="AS41" s="75">
        <v>0.81141665294669396</v>
      </c>
      <c r="AT41" s="77">
        <v>9</v>
      </c>
      <c r="AU41" s="76">
        <v>25435255</v>
      </c>
      <c r="AV41" s="76">
        <v>18724142</v>
      </c>
      <c r="AW41" s="75">
        <v>0.81083779296511305</v>
      </c>
      <c r="AX41" s="77">
        <v>9</v>
      </c>
      <c r="AY41" s="76">
        <v>33179969</v>
      </c>
      <c r="AZ41" s="76">
        <v>21442974</v>
      </c>
      <c r="BA41" s="75">
        <v>0.80589071006788504</v>
      </c>
      <c r="BB41" s="77">
        <v>9</v>
      </c>
      <c r="BC41" s="76">
        <v>35564758</v>
      </c>
      <c r="BD41" s="76">
        <v>27260135</v>
      </c>
      <c r="BE41" s="75">
        <v>0.81384131826832695</v>
      </c>
      <c r="BF41" s="77">
        <v>9</v>
      </c>
      <c r="BG41" s="76">
        <v>29079934</v>
      </c>
      <c r="BH41" s="76">
        <v>21845401</v>
      </c>
      <c r="BI41" s="75">
        <v>0.79353202448661597</v>
      </c>
    </row>
    <row r="42" spans="1:61" ht="16" customHeight="1" x14ac:dyDescent="0.15">
      <c r="A42" s="58">
        <v>38</v>
      </c>
      <c r="B42" s="77">
        <v>9.5</v>
      </c>
      <c r="C42" s="76">
        <v>24540769</v>
      </c>
      <c r="D42" s="76">
        <v>19104337</v>
      </c>
      <c r="E42" s="75">
        <v>0.84066871763802697</v>
      </c>
      <c r="F42" s="77">
        <v>9.6</v>
      </c>
      <c r="G42" s="76">
        <v>27601805</v>
      </c>
      <c r="H42" s="76">
        <v>21949583</v>
      </c>
      <c r="I42" s="75">
        <v>0.83817266639131804</v>
      </c>
      <c r="J42" s="77">
        <v>9.1</v>
      </c>
      <c r="K42" s="76">
        <v>27978880</v>
      </c>
      <c r="L42" s="76">
        <v>22126554</v>
      </c>
      <c r="M42" s="75">
        <v>0.84230096579344804</v>
      </c>
      <c r="N42" s="77">
        <v>9.4</v>
      </c>
      <c r="O42" s="76">
        <v>43207668</v>
      </c>
      <c r="P42" s="76">
        <v>21162725</v>
      </c>
      <c r="Q42" s="75">
        <v>0.82533651044374501</v>
      </c>
      <c r="R42" s="77">
        <v>8.6999999999999993</v>
      </c>
      <c r="S42" s="76">
        <v>25316076</v>
      </c>
      <c r="T42" s="76">
        <v>19321889</v>
      </c>
      <c r="U42" s="75">
        <v>0.80198232142218195</v>
      </c>
      <c r="V42" s="77">
        <v>9</v>
      </c>
      <c r="W42" s="76">
        <v>28220953</v>
      </c>
      <c r="X42" s="76">
        <v>20243162</v>
      </c>
      <c r="Y42" s="75">
        <v>0.79697033225597702</v>
      </c>
      <c r="Z42" s="77">
        <v>9.4</v>
      </c>
      <c r="AA42" s="76">
        <v>33967914</v>
      </c>
      <c r="AB42" s="76">
        <v>26161162</v>
      </c>
      <c r="AC42" s="75">
        <v>0.82949406565528105</v>
      </c>
      <c r="AD42" s="77">
        <v>9.1999999999999993</v>
      </c>
      <c r="AE42" s="76">
        <v>23042372</v>
      </c>
      <c r="AF42" s="76">
        <v>18296812</v>
      </c>
      <c r="AG42" s="75">
        <v>0.83171069970875999</v>
      </c>
      <c r="AH42" s="80">
        <v>7.1</v>
      </c>
      <c r="AI42" s="76">
        <v>27351106</v>
      </c>
      <c r="AJ42" s="76">
        <v>21014800</v>
      </c>
      <c r="AK42" s="75">
        <v>0.80517419093112697</v>
      </c>
      <c r="AL42" s="77">
        <v>9.1</v>
      </c>
      <c r="AM42" s="76">
        <v>28953212</v>
      </c>
      <c r="AN42" s="76">
        <v>22266460</v>
      </c>
      <c r="AO42" s="75">
        <v>0.81441293108568902</v>
      </c>
      <c r="AP42" s="77">
        <v>8.8000000000000007</v>
      </c>
      <c r="AQ42" s="76">
        <v>37442676</v>
      </c>
      <c r="AR42" s="76">
        <v>28728115</v>
      </c>
      <c r="AS42" s="75">
        <v>0.80042260517234498</v>
      </c>
      <c r="AT42" s="77">
        <v>9.1</v>
      </c>
      <c r="AU42" s="76">
        <v>24722912</v>
      </c>
      <c r="AV42" s="76">
        <v>18538317</v>
      </c>
      <c r="AW42" s="75">
        <v>0.81651070219424404</v>
      </c>
      <c r="AX42" s="77">
        <v>9.1999999999999993</v>
      </c>
      <c r="AY42" s="76">
        <v>27296462</v>
      </c>
      <c r="AZ42" s="76">
        <v>20757602</v>
      </c>
      <c r="BA42" s="75">
        <v>0.818269044357119</v>
      </c>
      <c r="BB42" s="77">
        <v>9</v>
      </c>
      <c r="BC42" s="76">
        <v>31588236</v>
      </c>
      <c r="BD42" s="76">
        <v>24546097</v>
      </c>
      <c r="BE42" s="75">
        <v>0.82238475828815005</v>
      </c>
      <c r="BF42" s="77">
        <v>9</v>
      </c>
      <c r="BG42" s="76">
        <v>34361807</v>
      </c>
      <c r="BH42" s="76">
        <v>24985988</v>
      </c>
      <c r="BI42" s="75">
        <v>0.77244072621334503</v>
      </c>
    </row>
    <row r="43" spans="1:61" ht="16" customHeight="1" x14ac:dyDescent="0.15">
      <c r="A43" s="58">
        <v>39</v>
      </c>
      <c r="B43" s="77">
        <v>9.1999999999999993</v>
      </c>
      <c r="C43" s="76">
        <v>44892386</v>
      </c>
      <c r="D43" s="76">
        <v>24837174</v>
      </c>
      <c r="E43" s="75">
        <v>0.84493469840512703</v>
      </c>
      <c r="F43" s="77">
        <v>8.9</v>
      </c>
      <c r="G43" s="76">
        <v>25917142</v>
      </c>
      <c r="H43" s="76">
        <v>18399008</v>
      </c>
      <c r="I43" s="75">
        <v>0.84321713480267602</v>
      </c>
      <c r="J43" s="77">
        <v>9</v>
      </c>
      <c r="K43" s="76">
        <v>52329034</v>
      </c>
      <c r="L43" s="76">
        <v>31443978</v>
      </c>
      <c r="M43" s="75">
        <v>0.85237746631623901</v>
      </c>
      <c r="N43" s="77">
        <v>8.9</v>
      </c>
      <c r="O43" s="76">
        <v>51406665</v>
      </c>
      <c r="P43" s="76">
        <v>19418844</v>
      </c>
      <c r="Q43" s="75">
        <v>0.81652029045465002</v>
      </c>
      <c r="R43" s="77">
        <v>8.8000000000000007</v>
      </c>
      <c r="S43" s="76">
        <v>38703624</v>
      </c>
      <c r="T43" s="76">
        <v>20475129</v>
      </c>
      <c r="U43" s="75">
        <v>0.80960275741646803</v>
      </c>
      <c r="V43" s="77">
        <v>8.8000000000000007</v>
      </c>
      <c r="W43" s="76">
        <v>44900988</v>
      </c>
      <c r="X43" s="76">
        <v>25149723</v>
      </c>
      <c r="Y43" s="75">
        <v>0.80277226009852298</v>
      </c>
      <c r="Z43" s="77">
        <v>9.6</v>
      </c>
      <c r="AA43" s="76">
        <v>42812013</v>
      </c>
      <c r="AB43" s="76">
        <v>25589540</v>
      </c>
      <c r="AC43" s="75">
        <v>0.83782955876528897</v>
      </c>
      <c r="AD43" s="77">
        <v>7.5</v>
      </c>
      <c r="AE43" s="76">
        <v>24474776</v>
      </c>
      <c r="AF43" s="76">
        <v>19442028</v>
      </c>
      <c r="AG43" s="75">
        <v>0.83372412219165304</v>
      </c>
      <c r="AH43" s="80">
        <v>9.3000000000000007</v>
      </c>
      <c r="AI43" s="76">
        <v>32927943</v>
      </c>
      <c r="AJ43" s="76">
        <v>22529606</v>
      </c>
      <c r="AK43" s="75">
        <v>0.80585353919143898</v>
      </c>
      <c r="AL43" s="77">
        <v>8.9</v>
      </c>
      <c r="AM43" s="76">
        <v>31909045</v>
      </c>
      <c r="AN43" s="76">
        <v>21293980</v>
      </c>
      <c r="AO43" s="75">
        <v>0.83691632165223295</v>
      </c>
      <c r="AP43" s="77">
        <v>9.1999999999999993</v>
      </c>
      <c r="AQ43" s="76">
        <v>30785866</v>
      </c>
      <c r="AR43" s="76">
        <v>22797193</v>
      </c>
      <c r="AS43" s="75">
        <v>0.78768650860643097</v>
      </c>
      <c r="AT43" s="77" t="s">
        <v>22</v>
      </c>
      <c r="AU43" s="76">
        <v>32640903</v>
      </c>
      <c r="AV43" s="76">
        <v>17698387</v>
      </c>
      <c r="AW43" s="75">
        <v>0.815865174336314</v>
      </c>
      <c r="AX43" s="77">
        <v>9.3000000000000007</v>
      </c>
      <c r="AY43" s="76">
        <v>40505267</v>
      </c>
      <c r="AZ43" s="76">
        <v>20151551</v>
      </c>
      <c r="BA43" s="75">
        <v>0.81388947553081203</v>
      </c>
      <c r="BB43" s="77">
        <v>8.9</v>
      </c>
      <c r="BC43" s="76">
        <v>31432544</v>
      </c>
      <c r="BD43" s="76">
        <v>17045249</v>
      </c>
      <c r="BE43" s="75">
        <v>0.80570354144666101</v>
      </c>
      <c r="BF43" s="77">
        <v>9.1</v>
      </c>
      <c r="BG43" s="76">
        <v>24198878</v>
      </c>
      <c r="BH43" s="76">
        <v>18092764</v>
      </c>
      <c r="BI43" s="75">
        <v>0.80453448004152195</v>
      </c>
    </row>
    <row r="44" spans="1:61" ht="16" customHeight="1" x14ac:dyDescent="0.15">
      <c r="A44" s="58">
        <v>40</v>
      </c>
      <c r="B44" s="77">
        <v>9.4</v>
      </c>
      <c r="C44" s="76">
        <v>23991259</v>
      </c>
      <c r="D44" s="76">
        <v>18762726</v>
      </c>
      <c r="E44" s="75">
        <v>0.84425220448975202</v>
      </c>
      <c r="F44" s="77">
        <v>9.6</v>
      </c>
      <c r="G44" s="76">
        <v>28648862</v>
      </c>
      <c r="H44" s="76">
        <v>22749335</v>
      </c>
      <c r="I44" s="75">
        <v>0.83799011606889195</v>
      </c>
      <c r="J44" s="77">
        <v>8.8000000000000007</v>
      </c>
      <c r="K44" s="76">
        <v>26810138</v>
      </c>
      <c r="L44" s="76">
        <v>20713119</v>
      </c>
      <c r="M44" s="75">
        <v>0.82573219975899104</v>
      </c>
      <c r="N44" s="77">
        <v>9</v>
      </c>
      <c r="O44" s="76">
        <v>36798855</v>
      </c>
      <c r="P44" s="76">
        <v>18468789</v>
      </c>
      <c r="Q44" s="75">
        <v>0.80533954635174698</v>
      </c>
      <c r="R44" s="77">
        <v>7.2</v>
      </c>
      <c r="S44" s="76">
        <v>28161983</v>
      </c>
      <c r="T44" s="76">
        <v>21241127</v>
      </c>
      <c r="U44" s="75">
        <v>0.79133151264716495</v>
      </c>
      <c r="V44" s="77">
        <v>9.1</v>
      </c>
      <c r="W44" s="76">
        <v>28917531</v>
      </c>
      <c r="X44" s="76">
        <v>20546973</v>
      </c>
      <c r="Y44" s="75">
        <v>0.78807676300429097</v>
      </c>
      <c r="Z44" s="77">
        <v>9.6</v>
      </c>
      <c r="AA44" s="76">
        <v>32429883</v>
      </c>
      <c r="AB44" s="76">
        <v>24894935</v>
      </c>
      <c r="AC44" s="75">
        <v>0.82626991578729303</v>
      </c>
      <c r="AD44" s="77">
        <v>9.4</v>
      </c>
      <c r="AE44" s="76">
        <v>23997449</v>
      </c>
      <c r="AF44" s="76">
        <v>19106761</v>
      </c>
      <c r="AG44" s="75">
        <v>0.83514188301389702</v>
      </c>
      <c r="AH44" s="80">
        <v>9.6999999999999993</v>
      </c>
      <c r="AI44" s="76">
        <v>23071151</v>
      </c>
      <c r="AJ44" s="76">
        <v>17635836</v>
      </c>
      <c r="AK44" s="75">
        <v>0.797958734163973</v>
      </c>
      <c r="AL44" s="77">
        <v>8.5</v>
      </c>
      <c r="AM44" s="76">
        <v>22522343</v>
      </c>
      <c r="AN44" s="76">
        <v>17672342</v>
      </c>
      <c r="AO44" s="75">
        <v>0.82633903774606499</v>
      </c>
      <c r="AP44" s="77">
        <v>9.3000000000000007</v>
      </c>
      <c r="AQ44" s="76">
        <v>25166521</v>
      </c>
      <c r="AR44" s="76">
        <v>18946996</v>
      </c>
      <c r="AS44" s="75">
        <v>0.80522360609950505</v>
      </c>
      <c r="AT44" s="77">
        <v>9.1999999999999993</v>
      </c>
      <c r="AU44" s="76">
        <v>26249371</v>
      </c>
      <c r="AV44" s="76">
        <v>19652761</v>
      </c>
      <c r="AW44" s="75">
        <v>0.81472971128170002</v>
      </c>
      <c r="AX44" s="77">
        <v>9.3000000000000007</v>
      </c>
      <c r="AY44" s="76">
        <v>26036620</v>
      </c>
      <c r="AZ44" s="76">
        <v>19542871</v>
      </c>
      <c r="BA44" s="75">
        <v>0.80956638471604103</v>
      </c>
      <c r="BB44" s="77">
        <v>9.1</v>
      </c>
      <c r="BC44" s="76">
        <v>28893798</v>
      </c>
      <c r="BD44" s="76">
        <v>22288585</v>
      </c>
      <c r="BE44" s="75">
        <v>0.81858203702510102</v>
      </c>
      <c r="BF44" s="77">
        <v>9</v>
      </c>
      <c r="BG44" s="76">
        <v>31564051</v>
      </c>
      <c r="BH44" s="76">
        <v>21768895</v>
      </c>
      <c r="BI44" s="75">
        <v>0.81631965445388699</v>
      </c>
    </row>
    <row r="45" spans="1:61" ht="16" customHeight="1" x14ac:dyDescent="0.15">
      <c r="A45" s="58">
        <v>41</v>
      </c>
      <c r="B45" s="77">
        <v>9.6</v>
      </c>
      <c r="C45" s="76">
        <v>24140481</v>
      </c>
      <c r="D45" s="76">
        <v>18847138</v>
      </c>
      <c r="E45" s="75">
        <v>0.84556085595596997</v>
      </c>
      <c r="F45" s="77">
        <v>9.5</v>
      </c>
      <c r="G45" s="76">
        <v>25813628</v>
      </c>
      <c r="H45" s="76">
        <v>20529286</v>
      </c>
      <c r="I45" s="75">
        <v>0.83866813723980305</v>
      </c>
      <c r="J45" s="77">
        <v>9.1</v>
      </c>
      <c r="K45" s="76">
        <v>26749705</v>
      </c>
      <c r="L45" s="76">
        <v>20752668</v>
      </c>
      <c r="M45" s="75">
        <v>0.82894642710705002</v>
      </c>
      <c r="N45" s="77">
        <v>9.6</v>
      </c>
      <c r="O45" s="76">
        <v>41082020</v>
      </c>
      <c r="P45" s="76">
        <v>19323764</v>
      </c>
      <c r="Q45" s="75">
        <v>0.81163452227370503</v>
      </c>
      <c r="R45" s="77">
        <v>8.9</v>
      </c>
      <c r="S45" s="76">
        <v>23782469</v>
      </c>
      <c r="T45" s="76">
        <v>18201319</v>
      </c>
      <c r="U45" s="75">
        <v>0.80582488595637103</v>
      </c>
      <c r="V45" s="77">
        <v>8.9</v>
      </c>
      <c r="W45" s="76">
        <v>28497997</v>
      </c>
      <c r="X45" s="76">
        <v>20349059</v>
      </c>
      <c r="Y45" s="75">
        <v>0.797823851480437</v>
      </c>
      <c r="Z45" s="77">
        <v>9.6</v>
      </c>
      <c r="AA45" s="76">
        <v>31099871</v>
      </c>
      <c r="AB45" s="76">
        <v>24661500</v>
      </c>
      <c r="AC45" s="75">
        <v>0.83333223513177901</v>
      </c>
      <c r="AD45" s="77">
        <v>9</v>
      </c>
      <c r="AE45" s="76">
        <v>23980791</v>
      </c>
      <c r="AF45" s="76">
        <v>18723227</v>
      </c>
      <c r="AG45" s="75">
        <v>0.83282389486592101</v>
      </c>
      <c r="AH45" s="80">
        <v>8.5</v>
      </c>
      <c r="AI45" s="76">
        <v>25304507</v>
      </c>
      <c r="AJ45" s="76">
        <v>19518710</v>
      </c>
      <c r="AK45" s="75">
        <v>0.80422700312935802</v>
      </c>
      <c r="AL45" s="77">
        <v>8.9</v>
      </c>
      <c r="AM45" s="76">
        <v>22254637</v>
      </c>
      <c r="AN45" s="76">
        <v>17661416</v>
      </c>
      <c r="AO45" s="75">
        <v>0.83267442918520895</v>
      </c>
      <c r="AP45" s="77">
        <v>9</v>
      </c>
      <c r="AQ45" s="76">
        <v>25150598</v>
      </c>
      <c r="AR45" s="76">
        <v>19223340</v>
      </c>
      <c r="AS45" s="75">
        <v>0.81883992842146003</v>
      </c>
      <c r="AT45" s="77">
        <v>9.1</v>
      </c>
      <c r="AU45" s="76">
        <v>24619658</v>
      </c>
      <c r="AV45" s="76">
        <v>18372465</v>
      </c>
      <c r="AW45" s="75">
        <v>0.81371233569877599</v>
      </c>
      <c r="AX45" s="77">
        <v>9.3000000000000007</v>
      </c>
      <c r="AY45" s="76">
        <v>24306346</v>
      </c>
      <c r="AZ45" s="76">
        <v>18203738</v>
      </c>
      <c r="BA45" s="75">
        <v>0.80801487365331104</v>
      </c>
      <c r="BB45" s="77">
        <v>9.1</v>
      </c>
      <c r="BC45" s="76">
        <v>23089695</v>
      </c>
      <c r="BD45" s="76">
        <v>17773385</v>
      </c>
      <c r="BE45" s="75">
        <v>0.81548621251129605</v>
      </c>
      <c r="BF45" s="77">
        <v>9.5</v>
      </c>
      <c r="BG45" s="76">
        <v>28891103</v>
      </c>
      <c r="BH45" s="76">
        <v>22261541</v>
      </c>
      <c r="BI45" s="75">
        <v>0.81210308063074499</v>
      </c>
    </row>
    <row r="46" spans="1:61" ht="16" customHeight="1" x14ac:dyDescent="0.15">
      <c r="A46" s="58">
        <v>42</v>
      </c>
      <c r="B46" s="77">
        <v>9.4</v>
      </c>
      <c r="C46" s="76">
        <v>25750295</v>
      </c>
      <c r="D46" s="76">
        <v>19934995</v>
      </c>
      <c r="E46" s="75">
        <v>0.83986063407703204</v>
      </c>
      <c r="F46" s="77">
        <v>9.3000000000000007</v>
      </c>
      <c r="G46" s="76">
        <v>28383752</v>
      </c>
      <c r="H46" s="76">
        <v>22358142</v>
      </c>
      <c r="I46" s="75">
        <v>0.83189341056644495</v>
      </c>
      <c r="J46" s="77">
        <v>8.4</v>
      </c>
      <c r="K46" s="76">
        <v>26210705</v>
      </c>
      <c r="L46" s="76">
        <v>20100239</v>
      </c>
      <c r="M46" s="75">
        <v>0.81823303577821804</v>
      </c>
      <c r="N46" s="77">
        <v>9.3000000000000007</v>
      </c>
      <c r="O46" s="76">
        <v>35486337</v>
      </c>
      <c r="P46" s="76">
        <v>19576635</v>
      </c>
      <c r="Q46" s="75">
        <v>0.79730520721647002</v>
      </c>
      <c r="R46" s="77">
        <v>8.6999999999999993</v>
      </c>
      <c r="S46" s="76">
        <v>23964574</v>
      </c>
      <c r="T46" s="76">
        <v>18145391</v>
      </c>
      <c r="U46" s="75">
        <v>0.79781822412348102</v>
      </c>
      <c r="V46" s="77">
        <v>8.9</v>
      </c>
      <c r="W46" s="76">
        <v>24454530</v>
      </c>
      <c r="X46" s="76">
        <v>17451411</v>
      </c>
      <c r="Y46" s="75">
        <v>0.79278390567097701</v>
      </c>
      <c r="Z46" s="77">
        <v>8.6</v>
      </c>
      <c r="AA46" s="76">
        <v>37899672</v>
      </c>
      <c r="AB46" s="76">
        <v>29802133</v>
      </c>
      <c r="AC46" s="75">
        <v>0.82784125896643501</v>
      </c>
      <c r="AD46" s="77">
        <v>9</v>
      </c>
      <c r="AE46" s="76">
        <v>24087773</v>
      </c>
      <c r="AF46" s="76">
        <v>18895878</v>
      </c>
      <c r="AG46" s="75">
        <v>0.83181576746549302</v>
      </c>
      <c r="AH46" s="80">
        <v>6.6</v>
      </c>
      <c r="AI46" s="76">
        <v>25348159</v>
      </c>
      <c r="AJ46" s="76">
        <v>18780798</v>
      </c>
      <c r="AK46" s="75">
        <v>0.77917471478874201</v>
      </c>
      <c r="AL46" s="77">
        <v>8.8000000000000007</v>
      </c>
      <c r="AM46" s="76">
        <v>22607136</v>
      </c>
      <c r="AN46" s="76">
        <v>17709128</v>
      </c>
      <c r="AO46" s="75">
        <v>0.82519208561283897</v>
      </c>
      <c r="AP46" s="77">
        <v>8.8000000000000007</v>
      </c>
      <c r="AQ46" s="76">
        <v>23084567</v>
      </c>
      <c r="AR46" s="76">
        <v>17472046</v>
      </c>
      <c r="AS46" s="75">
        <v>0.81694943039295398</v>
      </c>
      <c r="AT46" s="77">
        <v>8.9</v>
      </c>
      <c r="AU46" s="76">
        <v>25130767</v>
      </c>
      <c r="AV46" s="76">
        <v>18580993</v>
      </c>
      <c r="AW46" s="75">
        <v>0.80939486461612298</v>
      </c>
      <c r="AX46" s="77">
        <v>8.5</v>
      </c>
      <c r="AY46" s="76">
        <v>25528788</v>
      </c>
      <c r="AZ46" s="76">
        <v>19108102</v>
      </c>
      <c r="BA46" s="75">
        <v>0.80926807751364405</v>
      </c>
      <c r="BB46" s="77">
        <v>8.9</v>
      </c>
      <c r="BC46" s="76">
        <v>21576051</v>
      </c>
      <c r="BD46" s="76">
        <v>16644981</v>
      </c>
      <c r="BE46" s="75">
        <v>0.817533929784242</v>
      </c>
      <c r="BF46" s="77">
        <v>9.1999999999999993</v>
      </c>
      <c r="BG46" s="76">
        <v>21044107</v>
      </c>
      <c r="BH46" s="76">
        <v>16276132</v>
      </c>
      <c r="BI46" s="75">
        <v>0.81074534718084701</v>
      </c>
    </row>
    <row r="47" spans="1:61" ht="16" customHeight="1" x14ac:dyDescent="0.15">
      <c r="A47" s="58">
        <v>43</v>
      </c>
      <c r="B47" s="77">
        <v>9.4</v>
      </c>
      <c r="C47" s="76">
        <v>44529341</v>
      </c>
      <c r="D47" s="76">
        <v>34497033</v>
      </c>
      <c r="E47" s="75">
        <v>0.84138636985140702</v>
      </c>
      <c r="F47" s="77">
        <v>9.4</v>
      </c>
      <c r="G47" s="76">
        <v>25487253</v>
      </c>
      <c r="H47" s="76">
        <v>20210757</v>
      </c>
      <c r="I47" s="75">
        <v>0.83753846016137101</v>
      </c>
      <c r="J47" s="77">
        <v>9.1999999999999993</v>
      </c>
      <c r="K47" s="76">
        <v>28194722</v>
      </c>
      <c r="L47" s="76">
        <v>22672105</v>
      </c>
      <c r="M47" s="75">
        <v>0.84475928440069004</v>
      </c>
      <c r="N47" s="77">
        <v>8.4</v>
      </c>
      <c r="O47" s="76">
        <v>37674000</v>
      </c>
      <c r="P47" s="76">
        <v>20195199</v>
      </c>
      <c r="Q47" s="75">
        <v>0.79805865205013304</v>
      </c>
      <c r="R47" s="77">
        <v>8.6</v>
      </c>
      <c r="S47" s="76">
        <v>23601255</v>
      </c>
      <c r="T47" s="76">
        <v>17962419</v>
      </c>
      <c r="U47" s="75">
        <v>0.805809146388896</v>
      </c>
      <c r="V47" s="77">
        <v>8.6999999999999993</v>
      </c>
      <c r="W47" s="76">
        <v>28582720</v>
      </c>
      <c r="X47" s="76">
        <v>20324706</v>
      </c>
      <c r="Y47" s="75">
        <v>0.79093722650006903</v>
      </c>
      <c r="Z47" s="77">
        <v>8.8000000000000007</v>
      </c>
      <c r="AA47" s="76">
        <v>27144418</v>
      </c>
      <c r="AB47" s="76">
        <v>19737179</v>
      </c>
      <c r="AC47" s="75">
        <v>0.83446371976005396</v>
      </c>
      <c r="AD47" s="77">
        <v>8.6</v>
      </c>
      <c r="AE47" s="76">
        <v>46162398</v>
      </c>
      <c r="AF47" s="76">
        <v>35369361</v>
      </c>
      <c r="AG47" s="75">
        <v>0.83265964842200402</v>
      </c>
      <c r="AH47" s="80">
        <v>7.6</v>
      </c>
      <c r="AI47" s="76">
        <v>26245057</v>
      </c>
      <c r="AJ47" s="76">
        <v>19331613</v>
      </c>
      <c r="AK47" s="75">
        <v>0.76955063783975997</v>
      </c>
      <c r="AL47" s="77">
        <v>8.9</v>
      </c>
      <c r="AM47" s="76">
        <v>26867733</v>
      </c>
      <c r="AN47" s="76">
        <v>21189279</v>
      </c>
      <c r="AO47" s="75">
        <v>0.82863181857359103</v>
      </c>
      <c r="AP47" s="77">
        <v>8.8000000000000007</v>
      </c>
      <c r="AQ47" s="76">
        <v>29549008</v>
      </c>
      <c r="AR47" s="76">
        <v>22514511</v>
      </c>
      <c r="AS47" s="75">
        <v>0.82306776943204996</v>
      </c>
      <c r="AT47" s="77">
        <v>9</v>
      </c>
      <c r="AU47" s="76">
        <v>25614545</v>
      </c>
      <c r="AV47" s="76">
        <v>19261208</v>
      </c>
      <c r="AW47" s="75">
        <v>0.81961387458838897</v>
      </c>
      <c r="AX47" s="77">
        <v>9.1</v>
      </c>
      <c r="AY47" s="76">
        <v>24532418</v>
      </c>
      <c r="AZ47" s="76">
        <v>17848610</v>
      </c>
      <c r="BA47" s="75">
        <v>0.78629952503369605</v>
      </c>
      <c r="BB47" s="77">
        <v>8.6</v>
      </c>
      <c r="BC47" s="76">
        <v>51980847</v>
      </c>
      <c r="BD47" s="76">
        <v>40229533</v>
      </c>
      <c r="BE47" s="75">
        <v>0.81960500406954995</v>
      </c>
      <c r="BF47" s="77">
        <v>8.5</v>
      </c>
      <c r="BG47" s="76">
        <v>22449352</v>
      </c>
      <c r="BH47" s="76">
        <v>17388178</v>
      </c>
      <c r="BI47" s="75">
        <v>0.81304078254608003</v>
      </c>
    </row>
    <row r="48" spans="1:61" ht="16" customHeight="1" x14ac:dyDescent="0.15">
      <c r="A48" s="58">
        <v>44</v>
      </c>
      <c r="B48" s="80">
        <v>9.5</v>
      </c>
      <c r="C48" s="79">
        <v>37157328</v>
      </c>
      <c r="D48" s="79">
        <v>28702805</v>
      </c>
      <c r="E48" s="78">
        <v>0.839064578272397</v>
      </c>
      <c r="F48" s="80">
        <v>9.3000000000000007</v>
      </c>
      <c r="G48" s="79">
        <v>22828511</v>
      </c>
      <c r="H48" s="79">
        <v>18110993</v>
      </c>
      <c r="I48" s="78">
        <v>0.838344011874115</v>
      </c>
      <c r="J48" s="80">
        <v>9.5</v>
      </c>
      <c r="K48" s="79">
        <v>25050174</v>
      </c>
      <c r="L48" s="79">
        <v>19728522</v>
      </c>
      <c r="M48" s="78">
        <v>0.83119352026631499</v>
      </c>
      <c r="N48" s="80">
        <v>9.6</v>
      </c>
      <c r="O48" s="79">
        <v>35428394</v>
      </c>
      <c r="P48" s="79">
        <v>19192938</v>
      </c>
      <c r="Q48" s="78">
        <v>0.79823955024610405</v>
      </c>
      <c r="R48" s="80">
        <v>8.8000000000000007</v>
      </c>
      <c r="S48" s="79">
        <v>23827107</v>
      </c>
      <c r="T48" s="79">
        <v>18289433</v>
      </c>
      <c r="U48" s="78">
        <v>0.80622796690069298</v>
      </c>
      <c r="V48" s="80">
        <v>9</v>
      </c>
      <c r="W48" s="79">
        <v>24612565</v>
      </c>
      <c r="X48" s="79">
        <v>17695735</v>
      </c>
      <c r="Y48" s="78">
        <v>0.79434779146370404</v>
      </c>
      <c r="Z48" s="80">
        <v>9.6999999999999993</v>
      </c>
      <c r="AA48" s="79">
        <v>33313086</v>
      </c>
      <c r="AB48" s="79">
        <v>23923141</v>
      </c>
      <c r="AC48" s="78">
        <v>0.81988138436068403</v>
      </c>
      <c r="AD48" s="80">
        <v>9</v>
      </c>
      <c r="AE48" s="79">
        <v>24629261</v>
      </c>
      <c r="AF48" s="79">
        <v>19294742</v>
      </c>
      <c r="AG48" s="78">
        <v>0.83650770466630098</v>
      </c>
      <c r="AH48" s="80">
        <v>7.5</v>
      </c>
      <c r="AI48" s="79">
        <v>21751851</v>
      </c>
      <c r="AJ48" s="79">
        <v>16743164</v>
      </c>
      <c r="AK48" s="78">
        <v>0.80837601249395297</v>
      </c>
      <c r="AL48" s="80">
        <v>8.9</v>
      </c>
      <c r="AM48" s="79">
        <v>24513984</v>
      </c>
      <c r="AN48" s="79">
        <v>19138702</v>
      </c>
      <c r="AO48" s="78">
        <v>0.82519431324086001</v>
      </c>
      <c r="AP48" s="80">
        <v>8.9</v>
      </c>
      <c r="AQ48" s="79">
        <v>56137381</v>
      </c>
      <c r="AR48" s="79">
        <v>43952812</v>
      </c>
      <c r="AS48" s="78">
        <v>0.82245494035225397</v>
      </c>
      <c r="AT48" s="80">
        <v>9.1999999999999993</v>
      </c>
      <c r="AU48" s="79">
        <v>24962076</v>
      </c>
      <c r="AV48" s="79">
        <v>18746261</v>
      </c>
      <c r="AW48" s="78">
        <v>0.81451618299376805</v>
      </c>
      <c r="AX48" s="80">
        <v>9.3000000000000007</v>
      </c>
      <c r="AY48" s="79">
        <v>28952703</v>
      </c>
      <c r="AZ48" s="79">
        <v>21720378</v>
      </c>
      <c r="BA48" s="78">
        <v>0.81109197518370602</v>
      </c>
      <c r="BB48" s="80">
        <v>9</v>
      </c>
      <c r="BC48" s="79">
        <v>23974595</v>
      </c>
      <c r="BD48" s="79">
        <v>18460841</v>
      </c>
      <c r="BE48" s="78">
        <v>0.81532638665087998</v>
      </c>
      <c r="BF48" s="80">
        <v>8.6999999999999993</v>
      </c>
      <c r="BG48" s="79">
        <v>30340713</v>
      </c>
      <c r="BH48" s="79">
        <v>23510713</v>
      </c>
      <c r="BI48" s="78">
        <v>0.81334074300834402</v>
      </c>
    </row>
    <row r="49" spans="1:61" ht="16" customHeight="1" x14ac:dyDescent="0.15">
      <c r="A49" s="58">
        <v>45</v>
      </c>
      <c r="B49" s="77">
        <v>9.3000000000000007</v>
      </c>
      <c r="C49" s="76">
        <v>31408615</v>
      </c>
      <c r="D49" s="76">
        <v>24467108</v>
      </c>
      <c r="E49" s="75">
        <v>0.84510736049097901</v>
      </c>
      <c r="F49" s="77">
        <v>9.6999999999999993</v>
      </c>
      <c r="G49" s="76">
        <v>35404012</v>
      </c>
      <c r="H49" s="76">
        <v>27632314</v>
      </c>
      <c r="I49" s="75">
        <v>0.82372674523183198</v>
      </c>
      <c r="J49" s="77">
        <v>8.9</v>
      </c>
      <c r="K49" s="76">
        <v>28667781</v>
      </c>
      <c r="L49" s="76">
        <v>22854101</v>
      </c>
      <c r="M49" s="75">
        <v>0.83711619981546503</v>
      </c>
      <c r="N49" s="77">
        <v>9.6999999999999993</v>
      </c>
      <c r="O49" s="76">
        <v>26871805</v>
      </c>
      <c r="P49" s="76">
        <v>19629270</v>
      </c>
      <c r="Q49" s="75">
        <v>0.82600630498111705</v>
      </c>
      <c r="R49" s="77">
        <v>8.8000000000000007</v>
      </c>
      <c r="S49" s="76">
        <v>24596957</v>
      </c>
      <c r="T49" s="76">
        <v>19068058</v>
      </c>
      <c r="U49" s="75">
        <v>0.81607659147397704</v>
      </c>
      <c r="V49" s="77">
        <v>9.1</v>
      </c>
      <c r="W49" s="76">
        <v>33480555</v>
      </c>
      <c r="X49" s="76">
        <v>24050759</v>
      </c>
      <c r="Y49" s="75">
        <v>0.805542540564821</v>
      </c>
      <c r="Z49" s="77">
        <v>8.9</v>
      </c>
      <c r="AA49" s="76">
        <v>25854565</v>
      </c>
      <c r="AB49" s="76">
        <v>18758016</v>
      </c>
      <c r="AC49" s="75">
        <v>0.83347226747585401</v>
      </c>
      <c r="AD49" s="77">
        <v>9.1</v>
      </c>
      <c r="AE49" s="76">
        <v>22681260</v>
      </c>
      <c r="AF49" s="76">
        <v>17885244</v>
      </c>
      <c r="AG49" s="75">
        <v>0.83651681675199696</v>
      </c>
      <c r="AH49" s="80">
        <v>8.9</v>
      </c>
      <c r="AI49" s="76">
        <v>30025060</v>
      </c>
      <c r="AJ49" s="76">
        <v>23651608</v>
      </c>
      <c r="AK49" s="75">
        <v>0.81978866487862101</v>
      </c>
      <c r="AL49" s="77">
        <v>9.3000000000000007</v>
      </c>
      <c r="AM49" s="76">
        <v>24462742</v>
      </c>
      <c r="AN49" s="76">
        <v>19182772</v>
      </c>
      <c r="AO49" s="75">
        <v>0.82572092496305904</v>
      </c>
      <c r="AP49" s="77">
        <v>8.8000000000000007</v>
      </c>
      <c r="AQ49" s="76">
        <v>25333515</v>
      </c>
      <c r="AR49" s="76">
        <v>19482256</v>
      </c>
      <c r="AS49" s="75">
        <v>0.81385515682338305</v>
      </c>
      <c r="AT49" s="77">
        <v>9.1999999999999993</v>
      </c>
      <c r="AU49" s="76">
        <v>26899722</v>
      </c>
      <c r="AV49" s="76">
        <v>20431671</v>
      </c>
      <c r="AW49" s="75">
        <v>0.82512749963805199</v>
      </c>
      <c r="AX49" s="77">
        <v>9.3000000000000007</v>
      </c>
      <c r="AY49" s="76">
        <v>26055517</v>
      </c>
      <c r="AZ49" s="76">
        <v>19758908</v>
      </c>
      <c r="BA49" s="75">
        <v>0.81906816478754896</v>
      </c>
      <c r="BB49" s="77">
        <v>8.5</v>
      </c>
      <c r="BC49" s="76">
        <v>28867344</v>
      </c>
      <c r="BD49" s="76">
        <v>21995424</v>
      </c>
      <c r="BE49" s="75">
        <v>0.82600901468468901</v>
      </c>
      <c r="BF49" s="77">
        <v>8.6999999999999993</v>
      </c>
      <c r="BG49" s="76">
        <v>29432352</v>
      </c>
      <c r="BH49" s="76">
        <v>22909968</v>
      </c>
      <c r="BI49" s="75">
        <v>0.818177376817528</v>
      </c>
    </row>
    <row r="50" spans="1:61" ht="16" customHeight="1" x14ac:dyDescent="0.15">
      <c r="A50" s="58">
        <v>46</v>
      </c>
      <c r="B50" s="77">
        <v>9.4</v>
      </c>
      <c r="C50" s="76">
        <v>25214135</v>
      </c>
      <c r="D50" s="76">
        <v>19431500</v>
      </c>
      <c r="E50" s="75">
        <v>0.83452941413943604</v>
      </c>
      <c r="F50" s="77">
        <v>9.1</v>
      </c>
      <c r="G50" s="76">
        <v>34591759</v>
      </c>
      <c r="H50" s="76">
        <v>27385927</v>
      </c>
      <c r="I50" s="75">
        <v>0.83490057733166001</v>
      </c>
      <c r="J50" s="77">
        <v>7.5</v>
      </c>
      <c r="K50" s="76">
        <v>40356017</v>
      </c>
      <c r="L50" s="76">
        <v>28918574</v>
      </c>
      <c r="M50" s="75">
        <v>0.84568504773238495</v>
      </c>
      <c r="N50" s="77">
        <v>9.1999999999999993</v>
      </c>
      <c r="O50" s="76">
        <v>23956350</v>
      </c>
      <c r="P50" s="76">
        <v>17617825</v>
      </c>
      <c r="Q50" s="75">
        <v>0.82285261614198002</v>
      </c>
      <c r="R50" s="77">
        <v>8.6</v>
      </c>
      <c r="S50" s="76">
        <v>24722672</v>
      </c>
      <c r="T50" s="76">
        <v>18788132</v>
      </c>
      <c r="U50" s="75">
        <v>0.80123574008279397</v>
      </c>
      <c r="V50" s="77">
        <v>8.6</v>
      </c>
      <c r="W50" s="76">
        <v>32701654</v>
      </c>
      <c r="X50" s="76">
        <v>23376091</v>
      </c>
      <c r="Y50" s="75">
        <v>0.79801318840019198</v>
      </c>
      <c r="Z50" s="77">
        <v>8.6999999999999993</v>
      </c>
      <c r="AA50" s="76">
        <v>28080917</v>
      </c>
      <c r="AB50" s="76">
        <v>20269298</v>
      </c>
      <c r="AC50" s="75">
        <v>0.82722313817129101</v>
      </c>
      <c r="AD50" s="77">
        <v>8.5</v>
      </c>
      <c r="AE50" s="76">
        <v>23646563</v>
      </c>
      <c r="AF50" s="76">
        <v>18271383</v>
      </c>
      <c r="AG50" s="75">
        <v>0.82816230371784105</v>
      </c>
      <c r="AH50" s="80">
        <v>9</v>
      </c>
      <c r="AI50" s="76">
        <v>31772415</v>
      </c>
      <c r="AJ50" s="76">
        <v>24327983</v>
      </c>
      <c r="AK50" s="75">
        <v>0.79806068624606696</v>
      </c>
      <c r="AL50" s="77">
        <v>9</v>
      </c>
      <c r="AM50" s="76">
        <v>22802884</v>
      </c>
      <c r="AN50" s="76">
        <v>17667914</v>
      </c>
      <c r="AO50" s="75">
        <v>0.819414656444309</v>
      </c>
      <c r="AP50" s="77">
        <v>8.8000000000000007</v>
      </c>
      <c r="AQ50" s="76">
        <v>36025940</v>
      </c>
      <c r="AR50" s="76">
        <v>27206969</v>
      </c>
      <c r="AS50" s="75">
        <v>0.82151278942906603</v>
      </c>
      <c r="AT50" s="77">
        <v>9.1</v>
      </c>
      <c r="AU50" s="76">
        <v>25351430</v>
      </c>
      <c r="AV50" s="76">
        <v>19053370</v>
      </c>
      <c r="AW50" s="75">
        <v>0.81757207307329605</v>
      </c>
      <c r="AX50" s="77">
        <v>9.1999999999999993</v>
      </c>
      <c r="AY50" s="76">
        <v>31937273</v>
      </c>
      <c r="AZ50" s="76">
        <v>23922254</v>
      </c>
      <c r="BA50" s="75">
        <v>0.80950309044031699</v>
      </c>
      <c r="BB50" s="77">
        <v>9.1</v>
      </c>
      <c r="BC50" s="76">
        <v>26112000</v>
      </c>
      <c r="BD50" s="76">
        <v>20189685</v>
      </c>
      <c r="BE50" s="75">
        <v>0.81883790528343203</v>
      </c>
      <c r="BF50" s="77">
        <v>8</v>
      </c>
      <c r="BG50" s="76">
        <v>26869479</v>
      </c>
      <c r="BH50" s="76">
        <v>20729885</v>
      </c>
      <c r="BI50" s="75">
        <v>0.81071543354978903</v>
      </c>
    </row>
    <row r="51" spans="1:61" ht="16" customHeight="1" x14ac:dyDescent="0.15">
      <c r="A51" s="58">
        <v>47</v>
      </c>
      <c r="B51" s="77">
        <v>9.6999999999999993</v>
      </c>
      <c r="C51" s="76">
        <v>25378628</v>
      </c>
      <c r="D51" s="76">
        <v>19572387</v>
      </c>
      <c r="E51" s="75">
        <v>0.83959709916615899</v>
      </c>
      <c r="F51" s="77">
        <v>9.6</v>
      </c>
      <c r="G51" s="76">
        <v>33622714</v>
      </c>
      <c r="H51" s="76">
        <v>26454128</v>
      </c>
      <c r="I51" s="75">
        <v>0.83146483568858398</v>
      </c>
      <c r="J51" s="77">
        <v>9.8000000000000007</v>
      </c>
      <c r="K51" s="76">
        <v>22787955</v>
      </c>
      <c r="L51" s="76">
        <v>17573710</v>
      </c>
      <c r="M51" s="75">
        <v>0.85083527898019695</v>
      </c>
      <c r="N51" s="77">
        <v>9.1999999999999993</v>
      </c>
      <c r="O51" s="76">
        <v>33437746</v>
      </c>
      <c r="P51" s="76">
        <v>24979673</v>
      </c>
      <c r="Q51" s="75">
        <v>0.83294949242267802</v>
      </c>
      <c r="R51" s="77">
        <v>9.5</v>
      </c>
      <c r="S51" s="76">
        <v>27742001</v>
      </c>
      <c r="T51" s="76">
        <v>21006271</v>
      </c>
      <c r="U51" s="75">
        <v>0.81964157551136396</v>
      </c>
      <c r="V51" s="77">
        <v>8.8000000000000007</v>
      </c>
      <c r="W51" s="76">
        <v>81139354</v>
      </c>
      <c r="X51" s="76">
        <v>52432328</v>
      </c>
      <c r="Y51" s="75">
        <v>0.723048734561619</v>
      </c>
      <c r="Z51" s="77" t="s">
        <v>22</v>
      </c>
      <c r="AA51" s="76" t="s">
        <v>22</v>
      </c>
      <c r="AB51" s="76" t="s">
        <v>22</v>
      </c>
      <c r="AC51" s="75" t="s">
        <v>22</v>
      </c>
      <c r="AD51" s="77">
        <v>9.1999999999999993</v>
      </c>
      <c r="AE51" s="76">
        <v>20744666</v>
      </c>
      <c r="AF51" s="76">
        <v>16441284</v>
      </c>
      <c r="AG51" s="75">
        <v>0.835309960638838</v>
      </c>
      <c r="AH51" s="80">
        <v>8</v>
      </c>
      <c r="AI51" s="76">
        <v>31292558</v>
      </c>
      <c r="AJ51" s="76">
        <v>24379106</v>
      </c>
      <c r="AK51" s="75">
        <v>0.81404492016507601</v>
      </c>
      <c r="AL51" s="77">
        <v>9.1</v>
      </c>
      <c r="AM51" s="76">
        <v>23247328</v>
      </c>
      <c r="AN51" s="76">
        <v>17982204</v>
      </c>
      <c r="AO51" s="75">
        <v>0.82031306024666195</v>
      </c>
      <c r="AP51" s="77">
        <v>9</v>
      </c>
      <c r="AQ51" s="76">
        <v>33745699</v>
      </c>
      <c r="AR51" s="76">
        <v>24318628</v>
      </c>
      <c r="AS51" s="75">
        <v>0.77458861991225503</v>
      </c>
      <c r="AT51" s="77">
        <v>8.9</v>
      </c>
      <c r="AU51" s="76">
        <v>31965275</v>
      </c>
      <c r="AV51" s="76">
        <v>24329008</v>
      </c>
      <c r="AW51" s="75">
        <v>0.824866231789946</v>
      </c>
      <c r="AX51" s="77">
        <v>9.3000000000000007</v>
      </c>
      <c r="AY51" s="76">
        <v>25765914</v>
      </c>
      <c r="AZ51" s="76">
        <v>19452369</v>
      </c>
      <c r="BA51" s="75">
        <v>0.81640026020900702</v>
      </c>
      <c r="BB51" s="77">
        <v>9.1999999999999993</v>
      </c>
      <c r="BC51" s="76">
        <v>28466480</v>
      </c>
      <c r="BD51" s="76">
        <v>21459108</v>
      </c>
      <c r="BE51" s="75">
        <v>0.81964820428468499</v>
      </c>
      <c r="BF51" s="77">
        <v>8.9</v>
      </c>
      <c r="BG51" s="76">
        <v>24342132</v>
      </c>
      <c r="BH51" s="76">
        <v>18800348</v>
      </c>
      <c r="BI51" s="75">
        <v>0.81359094088449502</v>
      </c>
    </row>
    <row r="52" spans="1:61" ht="16" customHeight="1" x14ac:dyDescent="0.15">
      <c r="A52" s="58">
        <v>48</v>
      </c>
      <c r="B52" s="77">
        <v>9.6999999999999993</v>
      </c>
      <c r="C52" s="76">
        <v>25265087</v>
      </c>
      <c r="D52" s="76">
        <v>19506910</v>
      </c>
      <c r="E52" s="75">
        <v>0.83721233059322797</v>
      </c>
      <c r="F52" s="77">
        <v>9</v>
      </c>
      <c r="G52" s="76">
        <v>34795246</v>
      </c>
      <c r="H52" s="76">
        <v>27509809</v>
      </c>
      <c r="I52" s="75">
        <v>0.83200876376551602</v>
      </c>
      <c r="J52" s="77">
        <v>9.3000000000000007</v>
      </c>
      <c r="K52" s="76">
        <v>27043739</v>
      </c>
      <c r="L52" s="76">
        <v>22260046</v>
      </c>
      <c r="M52" s="75">
        <v>0.853867054631958</v>
      </c>
      <c r="N52" s="77">
        <v>9.3000000000000007</v>
      </c>
      <c r="O52" s="76">
        <v>37013681</v>
      </c>
      <c r="P52" s="76">
        <v>25906290</v>
      </c>
      <c r="Q52" s="75">
        <v>0.81775591928896896</v>
      </c>
      <c r="R52" s="77">
        <v>9.3000000000000007</v>
      </c>
      <c r="S52" s="76">
        <v>45244610</v>
      </c>
      <c r="T52" s="76">
        <v>26423876</v>
      </c>
      <c r="U52" s="75">
        <v>0.80739598234891596</v>
      </c>
      <c r="V52" s="77">
        <v>9.9</v>
      </c>
      <c r="W52" s="76">
        <v>35273554</v>
      </c>
      <c r="X52" s="76">
        <v>24889537</v>
      </c>
      <c r="Y52" s="75">
        <v>0.79404962152734404</v>
      </c>
      <c r="Z52" s="77">
        <v>9.1999999999999993</v>
      </c>
      <c r="AA52" s="76">
        <v>32577794</v>
      </c>
      <c r="AB52" s="76">
        <v>23457991</v>
      </c>
      <c r="AC52" s="75">
        <v>0.82728002967177905</v>
      </c>
      <c r="AD52" s="77">
        <v>8.6999999999999993</v>
      </c>
      <c r="AE52" s="76">
        <v>27321827</v>
      </c>
      <c r="AF52" s="76">
        <v>21135035</v>
      </c>
      <c r="AG52" s="75">
        <v>0.832089204224431</v>
      </c>
      <c r="AH52" s="80">
        <v>8.6999999999999993</v>
      </c>
      <c r="AI52" s="76">
        <v>26660310</v>
      </c>
      <c r="AJ52" s="76">
        <v>20312313</v>
      </c>
      <c r="AK52" s="75">
        <v>0.80361924559308995</v>
      </c>
      <c r="AL52" s="77">
        <v>8.6</v>
      </c>
      <c r="AM52" s="76">
        <v>20799212</v>
      </c>
      <c r="AN52" s="76">
        <v>13520960</v>
      </c>
      <c r="AO52" s="75">
        <v>0.71179299875997804</v>
      </c>
      <c r="AP52" s="80" t="s">
        <v>22</v>
      </c>
      <c r="AQ52" s="79" t="s">
        <v>22</v>
      </c>
      <c r="AR52" s="79" t="s">
        <v>22</v>
      </c>
      <c r="AS52" s="78" t="s">
        <v>22</v>
      </c>
      <c r="AT52" s="77">
        <v>9.1</v>
      </c>
      <c r="AU52" s="76">
        <v>41318141</v>
      </c>
      <c r="AV52" s="76">
        <v>31647324</v>
      </c>
      <c r="AW52" s="75">
        <v>0.82416606092500699</v>
      </c>
      <c r="AX52" s="77">
        <v>8.6999999999999993</v>
      </c>
      <c r="AY52" s="76">
        <v>24751034</v>
      </c>
      <c r="AZ52" s="76">
        <v>18831487</v>
      </c>
      <c r="BA52" s="75">
        <v>0.81951643296625998</v>
      </c>
      <c r="BB52" s="77">
        <v>9.3000000000000007</v>
      </c>
      <c r="BC52" s="76">
        <v>35896595</v>
      </c>
      <c r="BD52" s="76">
        <v>26936464</v>
      </c>
      <c r="BE52" s="75">
        <v>0.82253888731728897</v>
      </c>
      <c r="BF52" s="77">
        <v>8.6999999999999993</v>
      </c>
      <c r="BG52" s="76">
        <v>24304970</v>
      </c>
      <c r="BH52" s="76">
        <v>18075893</v>
      </c>
      <c r="BI52" s="75">
        <v>0.802240757444737</v>
      </c>
    </row>
    <row r="53" spans="1:61" ht="16" customHeight="1" x14ac:dyDescent="0.15">
      <c r="A53" s="58">
        <v>49</v>
      </c>
      <c r="B53" s="77">
        <v>9.6999999999999993</v>
      </c>
      <c r="C53" s="76">
        <v>25812024</v>
      </c>
      <c r="D53" s="76">
        <v>19790850</v>
      </c>
      <c r="E53" s="75">
        <v>0.82945307902894005</v>
      </c>
      <c r="F53" s="77">
        <v>9.6</v>
      </c>
      <c r="G53" s="76">
        <v>27476147</v>
      </c>
      <c r="H53" s="76">
        <v>21711360</v>
      </c>
      <c r="I53" s="75">
        <v>0.83239013196026801</v>
      </c>
      <c r="J53" s="77">
        <v>8.8000000000000007</v>
      </c>
      <c r="K53" s="76">
        <v>29637079</v>
      </c>
      <c r="L53" s="76">
        <v>23086072</v>
      </c>
      <c r="M53" s="75">
        <v>0.83710139588379895</v>
      </c>
      <c r="N53" s="77">
        <v>8.9</v>
      </c>
      <c r="O53" s="76">
        <v>40581575</v>
      </c>
      <c r="P53" s="76">
        <v>19926840</v>
      </c>
      <c r="Q53" s="75">
        <v>0.82126369209687999</v>
      </c>
      <c r="R53" s="77">
        <v>8.6</v>
      </c>
      <c r="S53" s="76">
        <v>23683469</v>
      </c>
      <c r="T53" s="76">
        <v>18382772</v>
      </c>
      <c r="U53" s="75">
        <v>0.81240535335939101</v>
      </c>
      <c r="V53" s="77">
        <v>8.3000000000000007</v>
      </c>
      <c r="W53" s="76">
        <v>28182443</v>
      </c>
      <c r="X53" s="76">
        <v>20372307</v>
      </c>
      <c r="Y53" s="75">
        <v>0.80385978674282699</v>
      </c>
      <c r="Z53" s="77">
        <v>9.5</v>
      </c>
      <c r="AA53" s="76">
        <v>34967435</v>
      </c>
      <c r="AB53" s="76">
        <v>26863495</v>
      </c>
      <c r="AC53" s="75">
        <v>0.82707109635439302</v>
      </c>
      <c r="AD53" s="77">
        <v>9</v>
      </c>
      <c r="AE53" s="76">
        <v>25853914</v>
      </c>
      <c r="AF53" s="76">
        <v>19392901</v>
      </c>
      <c r="AG53" s="75">
        <v>0.82590334517902197</v>
      </c>
      <c r="AH53" s="80">
        <v>8.8000000000000007</v>
      </c>
      <c r="AI53" s="76">
        <v>23495656</v>
      </c>
      <c r="AJ53" s="76">
        <v>17378758</v>
      </c>
      <c r="AK53" s="75">
        <v>0.78722276046297401</v>
      </c>
      <c r="AL53" s="77">
        <v>8.8000000000000007</v>
      </c>
      <c r="AM53" s="76">
        <v>34351528</v>
      </c>
      <c r="AN53" s="76">
        <v>24534559</v>
      </c>
      <c r="AO53" s="75">
        <v>0.77733059211255895</v>
      </c>
      <c r="AP53" s="77">
        <v>9.1999999999999993</v>
      </c>
      <c r="AQ53" s="76">
        <v>20545795</v>
      </c>
      <c r="AR53" s="76">
        <v>15942795</v>
      </c>
      <c r="AS53" s="75">
        <v>0.81406310436078</v>
      </c>
      <c r="AT53" s="77">
        <v>8.8000000000000007</v>
      </c>
      <c r="AU53" s="76">
        <v>24834829</v>
      </c>
      <c r="AV53" s="76">
        <v>18403656</v>
      </c>
      <c r="AW53" s="75">
        <v>0.80702264906408805</v>
      </c>
      <c r="AX53" s="77">
        <v>8.9</v>
      </c>
      <c r="AY53" s="76">
        <v>26426091</v>
      </c>
      <c r="AZ53" s="76">
        <v>19898537</v>
      </c>
      <c r="BA53" s="75">
        <v>0.81057643758051601</v>
      </c>
      <c r="BB53" s="77">
        <v>7.9</v>
      </c>
      <c r="BC53" s="76">
        <v>24985698</v>
      </c>
      <c r="BD53" s="76">
        <v>19353267</v>
      </c>
      <c r="BE53" s="75">
        <v>0.82020869198162005</v>
      </c>
      <c r="BF53" s="77">
        <v>8.8000000000000007</v>
      </c>
      <c r="BG53" s="76">
        <v>32974199</v>
      </c>
      <c r="BH53" s="76">
        <v>24045241</v>
      </c>
      <c r="BI53" s="75">
        <v>0.77728214393116801</v>
      </c>
    </row>
    <row r="54" spans="1:61" ht="16" customHeight="1" x14ac:dyDescent="0.15">
      <c r="A54" s="58">
        <v>50</v>
      </c>
      <c r="B54" s="77">
        <v>9.4</v>
      </c>
      <c r="C54" s="76">
        <v>23362354</v>
      </c>
      <c r="D54" s="76">
        <v>18124462</v>
      </c>
      <c r="E54" s="75">
        <v>0.834800953133782</v>
      </c>
      <c r="F54" s="77">
        <v>9.5</v>
      </c>
      <c r="G54" s="76">
        <v>28008845</v>
      </c>
      <c r="H54" s="76">
        <v>22091465</v>
      </c>
      <c r="I54" s="75">
        <v>0.832209667367249</v>
      </c>
      <c r="J54" s="77">
        <v>9.1</v>
      </c>
      <c r="K54" s="76">
        <v>31667283</v>
      </c>
      <c r="L54" s="76">
        <v>24778225</v>
      </c>
      <c r="M54" s="75">
        <v>0.83374659125306905</v>
      </c>
      <c r="N54" s="77">
        <v>9.1999999999999993</v>
      </c>
      <c r="O54" s="76">
        <v>34670106</v>
      </c>
      <c r="P54" s="76">
        <v>19928332</v>
      </c>
      <c r="Q54" s="75">
        <v>0.80648290078746099</v>
      </c>
      <c r="R54" s="77">
        <v>8.8000000000000007</v>
      </c>
      <c r="S54" s="76">
        <v>25587017</v>
      </c>
      <c r="T54" s="76">
        <v>19301017</v>
      </c>
      <c r="U54" s="75">
        <v>0.79321576522445003</v>
      </c>
      <c r="V54" s="77">
        <v>8.9</v>
      </c>
      <c r="W54" s="76">
        <v>22975286</v>
      </c>
      <c r="X54" s="76">
        <v>16757678</v>
      </c>
      <c r="Y54" s="75">
        <v>0.80055662637675096</v>
      </c>
      <c r="Z54" s="77">
        <v>9.6</v>
      </c>
      <c r="AA54" s="76">
        <v>32715314</v>
      </c>
      <c r="AB54" s="76">
        <v>24953610</v>
      </c>
      <c r="AC54" s="75">
        <v>0.82110953790198404</v>
      </c>
      <c r="AD54" s="77">
        <v>9.1</v>
      </c>
      <c r="AE54" s="76">
        <v>31438695</v>
      </c>
      <c r="AF54" s="76">
        <v>23577034</v>
      </c>
      <c r="AG54" s="75">
        <v>0.82830694227860902</v>
      </c>
      <c r="AH54" s="80">
        <v>7.8</v>
      </c>
      <c r="AI54" s="76">
        <v>27107019</v>
      </c>
      <c r="AJ54" s="76">
        <v>21021427</v>
      </c>
      <c r="AK54" s="75">
        <v>0.81330340177617699</v>
      </c>
      <c r="AL54" s="77">
        <v>8.6999999999999993</v>
      </c>
      <c r="AM54" s="76">
        <v>23742916</v>
      </c>
      <c r="AN54" s="76">
        <v>18371287</v>
      </c>
      <c r="AO54" s="75">
        <v>0.81400240381952604</v>
      </c>
      <c r="AP54" s="77">
        <v>9.1999999999999993</v>
      </c>
      <c r="AQ54" s="76">
        <v>36571056</v>
      </c>
      <c r="AR54" s="76">
        <v>27998329</v>
      </c>
      <c r="AS54" s="75">
        <v>0.80697666623173803</v>
      </c>
      <c r="AT54" s="77">
        <v>9.3000000000000007</v>
      </c>
      <c r="AU54" s="76">
        <v>25604383</v>
      </c>
      <c r="AV54" s="76">
        <v>18806857</v>
      </c>
      <c r="AW54" s="75">
        <v>0.80386422827848902</v>
      </c>
      <c r="AX54" s="77">
        <v>9.1999999999999993</v>
      </c>
      <c r="AY54" s="76">
        <v>26226452</v>
      </c>
      <c r="AZ54" s="76">
        <v>19721388</v>
      </c>
      <c r="BA54" s="75">
        <v>0.80759005879103896</v>
      </c>
      <c r="BB54" s="77">
        <v>9.1</v>
      </c>
      <c r="BC54" s="76">
        <v>27418248</v>
      </c>
      <c r="BD54" s="76">
        <v>21067429</v>
      </c>
      <c r="BE54" s="75">
        <v>0.81330707270119196</v>
      </c>
      <c r="BF54" s="77">
        <v>9.1</v>
      </c>
      <c r="BG54" s="76">
        <v>22973179</v>
      </c>
      <c r="BH54" s="76">
        <v>15994635</v>
      </c>
      <c r="BI54" s="75">
        <v>0.747594543888914</v>
      </c>
    </row>
    <row r="55" spans="1:61" ht="16" customHeight="1" x14ac:dyDescent="0.15">
      <c r="A55" s="58">
        <v>51</v>
      </c>
      <c r="B55" s="77">
        <v>9.4</v>
      </c>
      <c r="C55" s="76">
        <v>42294189</v>
      </c>
      <c r="D55" s="76">
        <v>24272888</v>
      </c>
      <c r="E55" s="75">
        <v>0.84967186510398396</v>
      </c>
      <c r="F55" s="77">
        <v>9.1</v>
      </c>
      <c r="G55" s="76">
        <v>38396754</v>
      </c>
      <c r="H55" s="76">
        <v>27800453</v>
      </c>
      <c r="I55" s="75">
        <v>0.84078521526881</v>
      </c>
      <c r="J55" s="77">
        <v>8.8000000000000007</v>
      </c>
      <c r="K55" s="76">
        <v>36059535</v>
      </c>
      <c r="L55" s="76">
        <v>21354386</v>
      </c>
      <c r="M55" s="75">
        <v>0.84903068760660605</v>
      </c>
      <c r="N55" s="77">
        <v>9.1</v>
      </c>
      <c r="O55" s="76">
        <v>54405228</v>
      </c>
      <c r="P55" s="76">
        <v>18874286</v>
      </c>
      <c r="Q55" s="75">
        <v>0.82037776358778403</v>
      </c>
      <c r="R55" s="77" t="s">
        <v>22</v>
      </c>
      <c r="S55" s="76" t="s">
        <v>22</v>
      </c>
      <c r="T55" s="76" t="s">
        <v>22</v>
      </c>
      <c r="U55" s="75" t="s">
        <v>22</v>
      </c>
      <c r="V55" s="77">
        <v>9.1</v>
      </c>
      <c r="W55" s="76">
        <v>36139381</v>
      </c>
      <c r="X55" s="76">
        <v>18258983</v>
      </c>
      <c r="Y55" s="75">
        <v>0.79004682002072801</v>
      </c>
      <c r="Z55" s="77">
        <v>9.1999999999999993</v>
      </c>
      <c r="AA55" s="76">
        <v>48611672</v>
      </c>
      <c r="AB55" s="76">
        <v>29310123</v>
      </c>
      <c r="AC55" s="75">
        <v>0.83218792274670905</v>
      </c>
      <c r="AD55" s="77">
        <v>9.1</v>
      </c>
      <c r="AE55" s="76">
        <v>46937599</v>
      </c>
      <c r="AF55" s="76">
        <v>31779117</v>
      </c>
      <c r="AG55" s="75">
        <v>0.83221018934826696</v>
      </c>
      <c r="AH55" s="80">
        <v>8.1999999999999993</v>
      </c>
      <c r="AI55" s="76">
        <v>37015501</v>
      </c>
      <c r="AJ55" s="76">
        <v>25541558</v>
      </c>
      <c r="AK55" s="75">
        <v>0.81114148242402695</v>
      </c>
      <c r="AL55" s="77">
        <v>8.6999999999999993</v>
      </c>
      <c r="AM55" s="76">
        <v>42141420</v>
      </c>
      <c r="AN55" s="76">
        <v>27516716</v>
      </c>
      <c r="AO55" s="75">
        <v>0.83223784615336205</v>
      </c>
      <c r="AP55" s="77">
        <v>9.5</v>
      </c>
      <c r="AQ55" s="76">
        <v>38551243</v>
      </c>
      <c r="AR55" s="76">
        <v>28583033</v>
      </c>
      <c r="AS55" s="75">
        <v>0.82060894263756901</v>
      </c>
      <c r="AT55" s="77">
        <v>9.1999999999999993</v>
      </c>
      <c r="AU55" s="76">
        <v>48406484</v>
      </c>
      <c r="AV55" s="76">
        <v>27510207</v>
      </c>
      <c r="AW55" s="75">
        <v>0.82628817086225304</v>
      </c>
      <c r="AX55" s="77">
        <v>9.4</v>
      </c>
      <c r="AY55" s="76">
        <v>38314095</v>
      </c>
      <c r="AZ55" s="76">
        <v>20204693</v>
      </c>
      <c r="BA55" s="75">
        <v>0.818053775757141</v>
      </c>
      <c r="BB55" s="77">
        <v>8.8000000000000007</v>
      </c>
      <c r="BC55" s="76">
        <v>34255198</v>
      </c>
      <c r="BD55" s="76">
        <v>19136704</v>
      </c>
      <c r="BE55" s="75">
        <v>0.81838909437433405</v>
      </c>
      <c r="BF55" s="77">
        <v>9.6999999999999993</v>
      </c>
      <c r="BG55" s="76">
        <v>26431195</v>
      </c>
      <c r="BH55" s="76">
        <v>19541240</v>
      </c>
      <c r="BI55" s="75">
        <v>0.79621819541385397</v>
      </c>
    </row>
    <row r="56" spans="1:61" ht="16" customHeight="1" x14ac:dyDescent="0.15">
      <c r="A56" s="58">
        <v>52</v>
      </c>
      <c r="B56" s="77">
        <v>9.5</v>
      </c>
      <c r="C56" s="76">
        <v>23856360</v>
      </c>
      <c r="D56" s="76">
        <v>18678544</v>
      </c>
      <c r="E56" s="75">
        <v>0.84155917928788404</v>
      </c>
      <c r="F56" s="77">
        <v>9.1999999999999993</v>
      </c>
      <c r="G56" s="76">
        <v>31974433</v>
      </c>
      <c r="H56" s="76">
        <v>25428361</v>
      </c>
      <c r="I56" s="75">
        <v>0.83730164048270295</v>
      </c>
      <c r="J56" s="77">
        <v>8.6999999999999993</v>
      </c>
      <c r="K56" s="76">
        <v>25987787</v>
      </c>
      <c r="L56" s="76">
        <v>20102312</v>
      </c>
      <c r="M56" s="75">
        <v>0.825233340732211</v>
      </c>
      <c r="N56" s="77">
        <v>9.1</v>
      </c>
      <c r="O56" s="76">
        <v>37576576</v>
      </c>
      <c r="P56" s="76">
        <v>19192118</v>
      </c>
      <c r="Q56" s="75">
        <v>0.81236739639882005</v>
      </c>
      <c r="R56" s="77">
        <v>8.6999999999999993</v>
      </c>
      <c r="S56" s="76">
        <v>23233953</v>
      </c>
      <c r="T56" s="76">
        <v>17992229</v>
      </c>
      <c r="U56" s="75">
        <v>0.81272534072642599</v>
      </c>
      <c r="V56" s="77">
        <v>9.1</v>
      </c>
      <c r="W56" s="76">
        <v>23552164</v>
      </c>
      <c r="X56" s="76">
        <v>17011266</v>
      </c>
      <c r="Y56" s="75">
        <v>0.79673549165295499</v>
      </c>
      <c r="Z56" s="77">
        <v>9.6999999999999993</v>
      </c>
      <c r="AA56" s="76">
        <v>31440876</v>
      </c>
      <c r="AB56" s="76">
        <v>24119914</v>
      </c>
      <c r="AC56" s="75">
        <v>0.83160451837307803</v>
      </c>
      <c r="AD56" s="77">
        <v>9.1999999999999993</v>
      </c>
      <c r="AE56" s="76">
        <v>23130038</v>
      </c>
      <c r="AF56" s="76">
        <v>17720664</v>
      </c>
      <c r="AG56" s="75">
        <v>0.83242510639093403</v>
      </c>
      <c r="AH56" s="80">
        <v>8.4</v>
      </c>
      <c r="AI56" s="76">
        <v>22652776</v>
      </c>
      <c r="AJ56" s="76">
        <v>17191489</v>
      </c>
      <c r="AK56" s="75">
        <v>0.79627891581865395</v>
      </c>
      <c r="AL56" s="77">
        <v>8.8000000000000007</v>
      </c>
      <c r="AM56" s="76">
        <v>21407676</v>
      </c>
      <c r="AN56" s="76">
        <v>16656103</v>
      </c>
      <c r="AO56" s="75">
        <v>0.82070718742094695</v>
      </c>
      <c r="AP56" s="77">
        <v>9.1999999999999993</v>
      </c>
      <c r="AQ56" s="76">
        <v>27101924</v>
      </c>
      <c r="AR56" s="76">
        <v>20468590</v>
      </c>
      <c r="AS56" s="75">
        <v>0.80854228665268602</v>
      </c>
      <c r="AT56" s="77">
        <v>8.9</v>
      </c>
      <c r="AU56" s="76">
        <v>24258975</v>
      </c>
      <c r="AV56" s="76">
        <v>18111507</v>
      </c>
      <c r="AW56" s="75">
        <v>0.81041453079873804</v>
      </c>
      <c r="AX56" s="77">
        <v>9.1</v>
      </c>
      <c r="AY56" s="76">
        <v>26665611</v>
      </c>
      <c r="AZ56" s="76">
        <v>19984300</v>
      </c>
      <c r="BA56" s="75">
        <v>0.80549699918177797</v>
      </c>
      <c r="BB56" s="77">
        <v>9.1</v>
      </c>
      <c r="BC56" s="76">
        <v>25747142</v>
      </c>
      <c r="BD56" s="76">
        <v>20117053</v>
      </c>
      <c r="BE56" s="75">
        <v>0.82322206885714599</v>
      </c>
      <c r="BF56" s="77">
        <v>9.3000000000000007</v>
      </c>
      <c r="BG56" s="76">
        <v>34977591</v>
      </c>
      <c r="BH56" s="76">
        <v>24083316</v>
      </c>
      <c r="BI56" s="75">
        <v>0.81597729184949197</v>
      </c>
    </row>
    <row r="57" spans="1:61" ht="16" customHeight="1" x14ac:dyDescent="0.15">
      <c r="A57" s="58">
        <v>53</v>
      </c>
      <c r="B57" s="77">
        <v>9.6</v>
      </c>
      <c r="C57" s="76">
        <v>26029229</v>
      </c>
      <c r="D57" s="76">
        <v>20265867</v>
      </c>
      <c r="E57" s="75">
        <v>0.84023418084797497</v>
      </c>
      <c r="F57" s="77">
        <v>9.5</v>
      </c>
      <c r="G57" s="76">
        <v>27707966</v>
      </c>
      <c r="H57" s="76">
        <v>22098387</v>
      </c>
      <c r="I57" s="75">
        <v>0.83915743507124496</v>
      </c>
      <c r="J57" s="77">
        <v>8.9</v>
      </c>
      <c r="K57" s="76">
        <v>28966787</v>
      </c>
      <c r="L57" s="76">
        <v>22545119</v>
      </c>
      <c r="M57" s="75">
        <v>0.83333723909973301</v>
      </c>
      <c r="N57" s="77">
        <v>9.5</v>
      </c>
      <c r="O57" s="76">
        <v>40822041</v>
      </c>
      <c r="P57" s="76">
        <v>24604990</v>
      </c>
      <c r="Q57" s="75">
        <v>0.81648832558932904</v>
      </c>
      <c r="R57" s="77">
        <v>8.8000000000000007</v>
      </c>
      <c r="S57" s="76">
        <v>24528854</v>
      </c>
      <c r="T57" s="76">
        <v>18849059</v>
      </c>
      <c r="U57" s="75">
        <v>0.81336244726526796</v>
      </c>
      <c r="V57" s="77">
        <v>8.6999999999999993</v>
      </c>
      <c r="W57" s="76">
        <v>24642226</v>
      </c>
      <c r="X57" s="76">
        <v>18007393</v>
      </c>
      <c r="Y57" s="75">
        <v>0.80523860066921804</v>
      </c>
      <c r="Z57" s="77">
        <v>9.4</v>
      </c>
      <c r="AA57" s="76">
        <v>36770220</v>
      </c>
      <c r="AB57" s="76">
        <v>29334102</v>
      </c>
      <c r="AC57" s="75">
        <v>0.83471972378027004</v>
      </c>
      <c r="AD57" s="77">
        <v>9</v>
      </c>
      <c r="AE57" s="76">
        <v>26226705</v>
      </c>
      <c r="AF57" s="76">
        <v>19806841</v>
      </c>
      <c r="AG57" s="75">
        <v>0.83239015057738097</v>
      </c>
      <c r="AH57" s="80">
        <v>8.5</v>
      </c>
      <c r="AI57" s="76">
        <v>24493152</v>
      </c>
      <c r="AJ57" s="76">
        <v>19112450</v>
      </c>
      <c r="AK57" s="75">
        <v>0.81611390755251001</v>
      </c>
      <c r="AL57" s="77">
        <v>9.6</v>
      </c>
      <c r="AM57" s="76">
        <v>35105558</v>
      </c>
      <c r="AN57" s="76">
        <v>27246227</v>
      </c>
      <c r="AO57" s="75">
        <v>0.81867269100904105</v>
      </c>
      <c r="AP57" s="77">
        <v>9</v>
      </c>
      <c r="AQ57" s="76">
        <v>29699006</v>
      </c>
      <c r="AR57" s="76">
        <v>22785699</v>
      </c>
      <c r="AS57" s="75">
        <v>0.81818404120030797</v>
      </c>
      <c r="AT57" s="77">
        <v>9.1999999999999993</v>
      </c>
      <c r="AU57" s="76">
        <v>23607355</v>
      </c>
      <c r="AV57" s="76">
        <v>17762455</v>
      </c>
      <c r="AW57" s="75">
        <v>0.81621839831007303</v>
      </c>
      <c r="AX57" s="77">
        <v>9.1999999999999993</v>
      </c>
      <c r="AY57" s="76">
        <v>24788109</v>
      </c>
      <c r="AZ57" s="76">
        <v>18665241</v>
      </c>
      <c r="BA57" s="75">
        <v>0.81032775326517903</v>
      </c>
      <c r="BB57" s="77">
        <v>9.1</v>
      </c>
      <c r="BC57" s="76">
        <v>39238353</v>
      </c>
      <c r="BD57" s="76">
        <v>30235542</v>
      </c>
      <c r="BE57" s="75">
        <v>0.81606171761299795</v>
      </c>
      <c r="BF57" s="77">
        <v>9.4</v>
      </c>
      <c r="BG57" s="76">
        <v>23578182</v>
      </c>
      <c r="BH57" s="76">
        <v>18282024</v>
      </c>
      <c r="BI57" s="75">
        <v>0.81326217928799804</v>
      </c>
    </row>
    <row r="58" spans="1:61" ht="16" customHeight="1" x14ac:dyDescent="0.15">
      <c r="A58" s="58">
        <v>54</v>
      </c>
      <c r="B58" s="77">
        <v>9.5</v>
      </c>
      <c r="C58" s="76">
        <v>24074544</v>
      </c>
      <c r="D58" s="76">
        <v>18741897</v>
      </c>
      <c r="E58" s="75">
        <v>0.84126504478744302</v>
      </c>
      <c r="F58" s="77">
        <v>9.3000000000000007</v>
      </c>
      <c r="G58" s="76">
        <v>23980503</v>
      </c>
      <c r="H58" s="76">
        <v>19006816</v>
      </c>
      <c r="I58" s="75">
        <v>0.83774439314732796</v>
      </c>
      <c r="J58" s="77">
        <v>9.3000000000000007</v>
      </c>
      <c r="K58" s="76">
        <v>27326553</v>
      </c>
      <c r="L58" s="76">
        <v>21360734</v>
      </c>
      <c r="M58" s="75">
        <v>0.83632388458156004</v>
      </c>
      <c r="N58" s="77">
        <v>9.5</v>
      </c>
      <c r="O58" s="76">
        <v>37736523</v>
      </c>
      <c r="P58" s="76">
        <v>18813740</v>
      </c>
      <c r="Q58" s="75">
        <v>0.80102729103719605</v>
      </c>
      <c r="R58" s="77">
        <v>9</v>
      </c>
      <c r="S58" s="76">
        <v>24380183</v>
      </c>
      <c r="T58" s="76">
        <v>18673036</v>
      </c>
      <c r="U58" s="75">
        <v>0.80907973499429298</v>
      </c>
      <c r="V58" s="77">
        <v>8.9</v>
      </c>
      <c r="W58" s="76">
        <v>27698924</v>
      </c>
      <c r="X58" s="76">
        <v>19899544</v>
      </c>
      <c r="Y58" s="75">
        <v>0.79624394720693603</v>
      </c>
      <c r="Z58" s="77">
        <v>9.4</v>
      </c>
      <c r="AA58" s="76">
        <v>46439418</v>
      </c>
      <c r="AB58" s="76">
        <v>36555044</v>
      </c>
      <c r="AC58" s="75">
        <v>0.82600888825619201</v>
      </c>
      <c r="AD58" s="77">
        <v>9.1</v>
      </c>
      <c r="AE58" s="76">
        <v>26337728</v>
      </c>
      <c r="AF58" s="76">
        <v>19839081</v>
      </c>
      <c r="AG58" s="75">
        <v>0.83215572670253501</v>
      </c>
      <c r="AH58" s="80">
        <v>7.8</v>
      </c>
      <c r="AI58" s="76">
        <v>25026038</v>
      </c>
      <c r="AJ58" s="76">
        <v>19223531</v>
      </c>
      <c r="AK58" s="75">
        <v>0.80135358859802397</v>
      </c>
      <c r="AL58" s="77">
        <v>9.5</v>
      </c>
      <c r="AM58" s="76">
        <v>23439156</v>
      </c>
      <c r="AN58" s="76">
        <v>18470702</v>
      </c>
      <c r="AO58" s="75">
        <v>0.82949325187752698</v>
      </c>
      <c r="AP58" s="77">
        <v>8.9</v>
      </c>
      <c r="AQ58" s="76">
        <v>31292883</v>
      </c>
      <c r="AR58" s="76">
        <v>23320753</v>
      </c>
      <c r="AS58" s="75">
        <v>0.814033718547575</v>
      </c>
      <c r="AT58" s="77">
        <v>9</v>
      </c>
      <c r="AU58" s="76">
        <v>22583996</v>
      </c>
      <c r="AV58" s="76">
        <v>16926110</v>
      </c>
      <c r="AW58" s="75">
        <v>0.81480195641699504</v>
      </c>
      <c r="AX58" s="77">
        <v>9.3000000000000007</v>
      </c>
      <c r="AY58" s="76">
        <v>27018176</v>
      </c>
      <c r="AZ58" s="76">
        <v>20517294</v>
      </c>
      <c r="BA58" s="75">
        <v>0.81828658660173303</v>
      </c>
      <c r="BB58" s="77">
        <v>8.8000000000000007</v>
      </c>
      <c r="BC58" s="76">
        <v>21721291</v>
      </c>
      <c r="BD58" s="76">
        <v>16765047</v>
      </c>
      <c r="BE58" s="75">
        <v>0.81809709636122296</v>
      </c>
      <c r="BF58" s="77">
        <v>8.9</v>
      </c>
      <c r="BG58" s="76">
        <v>30051212</v>
      </c>
      <c r="BH58" s="76">
        <v>23311029</v>
      </c>
      <c r="BI58" s="75">
        <v>0.81379701028156204</v>
      </c>
    </row>
    <row r="59" spans="1:61" ht="16" customHeight="1" x14ac:dyDescent="0.15">
      <c r="A59" s="58">
        <v>55</v>
      </c>
      <c r="B59" s="77">
        <v>9</v>
      </c>
      <c r="C59" s="76">
        <v>25084570</v>
      </c>
      <c r="D59" s="76">
        <v>19457431</v>
      </c>
      <c r="E59" s="75">
        <v>0.83928043034803901</v>
      </c>
      <c r="F59" s="77">
        <v>9.4</v>
      </c>
      <c r="G59" s="76">
        <v>25157380</v>
      </c>
      <c r="H59" s="76">
        <v>19973121</v>
      </c>
      <c r="I59" s="75">
        <v>0.83827884637782302</v>
      </c>
      <c r="J59" s="77">
        <v>7.9</v>
      </c>
      <c r="K59" s="76">
        <v>23669392</v>
      </c>
      <c r="L59" s="76">
        <v>19096501</v>
      </c>
      <c r="M59" s="75">
        <v>0.84856053542516197</v>
      </c>
      <c r="N59" s="77">
        <v>9.1</v>
      </c>
      <c r="O59" s="76">
        <v>35758930</v>
      </c>
      <c r="P59" s="76">
        <v>20724114</v>
      </c>
      <c r="Q59" s="75">
        <v>0.79631460986043701</v>
      </c>
      <c r="R59" s="77">
        <v>8.9</v>
      </c>
      <c r="S59" s="76">
        <v>28243999</v>
      </c>
      <c r="T59" s="76">
        <v>21845231</v>
      </c>
      <c r="U59" s="75">
        <v>0.81035846399800304</v>
      </c>
      <c r="V59" s="77">
        <v>9.6</v>
      </c>
      <c r="W59" s="76">
        <v>42410923</v>
      </c>
      <c r="X59" s="76">
        <v>24356322</v>
      </c>
      <c r="Y59" s="75">
        <v>0.81213184090575596</v>
      </c>
      <c r="Z59" s="77">
        <v>8.9</v>
      </c>
      <c r="AA59" s="76">
        <v>48556817</v>
      </c>
      <c r="AB59" s="76">
        <v>35836350</v>
      </c>
      <c r="AC59" s="75">
        <v>0.83554440574606303</v>
      </c>
      <c r="AD59" s="77">
        <v>8.9</v>
      </c>
      <c r="AE59" s="76">
        <v>32331008</v>
      </c>
      <c r="AF59" s="76">
        <v>24952474</v>
      </c>
      <c r="AG59" s="75">
        <v>0.83822219245158203</v>
      </c>
      <c r="AH59" s="80">
        <v>6</v>
      </c>
      <c r="AI59" s="76">
        <v>26685330</v>
      </c>
      <c r="AJ59" s="76">
        <v>19557490</v>
      </c>
      <c r="AK59" s="75">
        <v>0.766210347345473</v>
      </c>
      <c r="AL59" s="77">
        <v>9.1999999999999993</v>
      </c>
      <c r="AM59" s="76">
        <v>29635603</v>
      </c>
      <c r="AN59" s="76">
        <v>23112336</v>
      </c>
      <c r="AO59" s="75">
        <v>0.82290602088424802</v>
      </c>
      <c r="AP59" s="77">
        <v>9</v>
      </c>
      <c r="AQ59" s="76">
        <v>24312306</v>
      </c>
      <c r="AR59" s="76">
        <v>18372614</v>
      </c>
      <c r="AS59" s="75">
        <v>0.82587261120442201</v>
      </c>
      <c r="AT59" s="77">
        <v>9.1</v>
      </c>
      <c r="AU59" s="76">
        <v>25273481</v>
      </c>
      <c r="AV59" s="76">
        <v>19199457</v>
      </c>
      <c r="AW59" s="75">
        <v>0.82609171753369903</v>
      </c>
      <c r="AX59" s="77">
        <v>9</v>
      </c>
      <c r="AY59" s="76">
        <v>26857862</v>
      </c>
      <c r="AZ59" s="76">
        <v>20260059</v>
      </c>
      <c r="BA59" s="75">
        <v>0.81195270249013496</v>
      </c>
      <c r="BB59" s="77">
        <v>8.9</v>
      </c>
      <c r="BC59" s="76">
        <v>25635492</v>
      </c>
      <c r="BD59" s="76">
        <v>19912014</v>
      </c>
      <c r="BE59" s="75">
        <v>0.82163765903744701</v>
      </c>
      <c r="BF59" s="77">
        <v>8.6999999999999993</v>
      </c>
      <c r="BG59" s="76">
        <v>23607790</v>
      </c>
      <c r="BH59" s="76">
        <v>18369138</v>
      </c>
      <c r="BI59" s="75">
        <v>0.81708107861898704</v>
      </c>
    </row>
    <row r="60" spans="1:61" ht="16" customHeight="1" x14ac:dyDescent="0.15">
      <c r="A60" s="58">
        <v>56</v>
      </c>
      <c r="B60" s="77">
        <v>9.5</v>
      </c>
      <c r="C60" s="76">
        <v>24218182</v>
      </c>
      <c r="D60" s="76">
        <v>18671348</v>
      </c>
      <c r="E60" s="75">
        <v>0.83505040755299798</v>
      </c>
      <c r="F60" s="77">
        <v>9.6</v>
      </c>
      <c r="G60" s="76">
        <v>23130426</v>
      </c>
      <c r="H60" s="76">
        <v>18131002</v>
      </c>
      <c r="I60" s="75">
        <v>0.82933791113538502</v>
      </c>
      <c r="J60" s="77">
        <v>8.5</v>
      </c>
      <c r="K60" s="76">
        <v>25763724</v>
      </c>
      <c r="L60" s="76">
        <v>20388121</v>
      </c>
      <c r="M60" s="75">
        <v>0.83570100215482301</v>
      </c>
      <c r="N60" s="77">
        <v>9.5</v>
      </c>
      <c r="O60" s="76">
        <v>37291874</v>
      </c>
      <c r="P60" s="76">
        <v>19181383</v>
      </c>
      <c r="Q60" s="75">
        <v>0.80663236974068298</v>
      </c>
      <c r="R60" s="77">
        <v>8.6999999999999993</v>
      </c>
      <c r="S60" s="76">
        <v>23690195</v>
      </c>
      <c r="T60" s="76">
        <v>18538596</v>
      </c>
      <c r="U60" s="75">
        <v>0.82023215566831498</v>
      </c>
      <c r="V60" s="77">
        <v>8.8000000000000007</v>
      </c>
      <c r="W60" s="76">
        <v>24877666</v>
      </c>
      <c r="X60" s="76">
        <v>17923172</v>
      </c>
      <c r="Y60" s="75">
        <v>0.79855942563085203</v>
      </c>
      <c r="Z60" s="77">
        <v>8.8000000000000007</v>
      </c>
      <c r="AA60" s="76">
        <v>33498659</v>
      </c>
      <c r="AB60" s="76">
        <v>24474745</v>
      </c>
      <c r="AC60" s="75">
        <v>0.83541021833908202</v>
      </c>
      <c r="AD60" s="77">
        <v>8.9</v>
      </c>
      <c r="AE60" s="76">
        <v>26699158</v>
      </c>
      <c r="AF60" s="76">
        <v>20174543</v>
      </c>
      <c r="AG60" s="75">
        <v>0.83537767752374403</v>
      </c>
      <c r="AH60" s="80">
        <v>8.6</v>
      </c>
      <c r="AI60" s="76">
        <v>21195693</v>
      </c>
      <c r="AJ60" s="76">
        <v>16254292</v>
      </c>
      <c r="AK60" s="75">
        <v>0.80206209252434701</v>
      </c>
      <c r="AL60" s="77">
        <v>8.8000000000000007</v>
      </c>
      <c r="AM60" s="76">
        <v>30176054</v>
      </c>
      <c r="AN60" s="76">
        <v>23688328</v>
      </c>
      <c r="AO60" s="75">
        <v>0.82755322819719301</v>
      </c>
      <c r="AP60" s="77">
        <v>9</v>
      </c>
      <c r="AQ60" s="76">
        <v>24987321</v>
      </c>
      <c r="AR60" s="76">
        <v>19101452</v>
      </c>
      <c r="AS60" s="75">
        <v>0.81692198385072301</v>
      </c>
      <c r="AT60" s="77">
        <v>8.1</v>
      </c>
      <c r="AU60" s="76">
        <v>28310823</v>
      </c>
      <c r="AV60" s="76">
        <v>21298805</v>
      </c>
      <c r="AW60" s="75">
        <v>0.81146728565155801</v>
      </c>
      <c r="AX60" s="77">
        <v>9.1999999999999993</v>
      </c>
      <c r="AY60" s="76">
        <v>27701050</v>
      </c>
      <c r="AZ60" s="76">
        <v>20823212</v>
      </c>
      <c r="BA60" s="75">
        <v>0.80958053362567095</v>
      </c>
      <c r="BB60" s="77">
        <v>9</v>
      </c>
      <c r="BC60" s="76">
        <v>41215166</v>
      </c>
      <c r="BD60" s="76">
        <v>31992358</v>
      </c>
      <c r="BE60" s="75">
        <v>0.82048816447782502</v>
      </c>
      <c r="BF60" s="77">
        <v>9.1</v>
      </c>
      <c r="BG60" s="76">
        <v>21264559</v>
      </c>
      <c r="BH60" s="76">
        <v>16564703</v>
      </c>
      <c r="BI60" s="75">
        <v>0.81481169764941397</v>
      </c>
    </row>
    <row r="61" spans="1:61" s="64" customFormat="1" ht="16" customHeight="1" x14ac:dyDescent="0.15">
      <c r="A61" s="58">
        <v>57</v>
      </c>
      <c r="B61" s="77">
        <v>9</v>
      </c>
      <c r="C61" s="76">
        <v>22460824</v>
      </c>
      <c r="D61" s="76">
        <v>17580884</v>
      </c>
      <c r="E61" s="75">
        <v>0.829088742885015</v>
      </c>
      <c r="F61" s="77">
        <v>9.4</v>
      </c>
      <c r="G61" s="76">
        <v>22593376</v>
      </c>
      <c r="H61" s="76">
        <v>17912855</v>
      </c>
      <c r="I61" s="75">
        <v>0.83851266038913796</v>
      </c>
      <c r="J61" s="77">
        <v>8.5</v>
      </c>
      <c r="K61" s="76">
        <v>21640811</v>
      </c>
      <c r="L61" s="76">
        <v>17126564</v>
      </c>
      <c r="M61" s="75">
        <v>0.83649388438390204</v>
      </c>
      <c r="N61" s="77">
        <v>9.6</v>
      </c>
      <c r="O61" s="76">
        <v>30417757</v>
      </c>
      <c r="P61" s="76">
        <v>22337281</v>
      </c>
      <c r="Q61" s="75">
        <v>0.82882178993570599</v>
      </c>
      <c r="R61" s="77">
        <v>8.9</v>
      </c>
      <c r="S61" s="76">
        <v>25300933</v>
      </c>
      <c r="T61" s="76">
        <v>19521708</v>
      </c>
      <c r="U61" s="75">
        <v>0.81228101382275597</v>
      </c>
      <c r="V61" s="77">
        <v>9</v>
      </c>
      <c r="W61" s="76">
        <v>25477665</v>
      </c>
      <c r="X61" s="76">
        <v>18442773</v>
      </c>
      <c r="Y61" s="75">
        <v>0.80802949267277002</v>
      </c>
      <c r="Z61" s="77">
        <v>8.6999999999999993</v>
      </c>
      <c r="AA61" s="76">
        <v>38866560</v>
      </c>
      <c r="AB61" s="76">
        <v>28252498</v>
      </c>
      <c r="AC61" s="75">
        <v>0.82610986307262801</v>
      </c>
      <c r="AD61" s="77">
        <v>9</v>
      </c>
      <c r="AE61" s="76">
        <v>26184693</v>
      </c>
      <c r="AF61" s="76">
        <v>19770919</v>
      </c>
      <c r="AG61" s="75">
        <v>0.83123948780032997</v>
      </c>
      <c r="AH61" s="80">
        <v>9.3000000000000007</v>
      </c>
      <c r="AI61" s="76">
        <v>25535937</v>
      </c>
      <c r="AJ61" s="76">
        <v>18497454</v>
      </c>
      <c r="AK61" s="75">
        <v>0.75541915300139695</v>
      </c>
      <c r="AL61" s="77">
        <v>8.6999999999999993</v>
      </c>
      <c r="AM61" s="76">
        <v>24057912</v>
      </c>
      <c r="AN61" s="76">
        <v>17666434</v>
      </c>
      <c r="AO61" s="75">
        <v>0.77941201060020204</v>
      </c>
      <c r="AP61" s="77">
        <v>8.6</v>
      </c>
      <c r="AQ61" s="76">
        <v>31521238</v>
      </c>
      <c r="AR61" s="76">
        <v>23031281</v>
      </c>
      <c r="AS61" s="75">
        <v>0.77900238243764297</v>
      </c>
      <c r="AT61" s="77">
        <v>7.7</v>
      </c>
      <c r="AU61" s="76">
        <v>30618167</v>
      </c>
      <c r="AV61" s="76">
        <v>22869282</v>
      </c>
      <c r="AW61" s="75">
        <v>0.80912402127238603</v>
      </c>
      <c r="AX61" s="77">
        <v>9.3000000000000007</v>
      </c>
      <c r="AY61" s="76">
        <v>26329165</v>
      </c>
      <c r="AZ61" s="76">
        <v>19706300</v>
      </c>
      <c r="BA61" s="75">
        <v>0.80719370432902904</v>
      </c>
      <c r="BB61" s="77">
        <v>8.6</v>
      </c>
      <c r="BC61" s="76">
        <v>21911412</v>
      </c>
      <c r="BD61" s="76">
        <v>16981732</v>
      </c>
      <c r="BE61" s="75">
        <v>0.82020690965917298</v>
      </c>
      <c r="BF61" s="77">
        <v>8</v>
      </c>
      <c r="BG61" s="76">
        <v>22698242</v>
      </c>
      <c r="BH61" s="76">
        <v>17624909</v>
      </c>
      <c r="BI61" s="75">
        <v>0.81096268001796501</v>
      </c>
    </row>
    <row r="62" spans="1:61" s="64" customFormat="1" ht="16" customHeight="1" x14ac:dyDescent="0.15">
      <c r="A62" s="58">
        <v>58</v>
      </c>
      <c r="B62" s="77">
        <v>9.3000000000000007</v>
      </c>
      <c r="C62" s="76">
        <v>25793742</v>
      </c>
      <c r="D62" s="76">
        <v>19902913</v>
      </c>
      <c r="E62" s="75">
        <v>0.83434063472962405</v>
      </c>
      <c r="F62" s="77">
        <v>9.4</v>
      </c>
      <c r="G62" s="76">
        <v>34882363</v>
      </c>
      <c r="H62" s="76">
        <v>27941060</v>
      </c>
      <c r="I62" s="75">
        <v>0.84057706886252104</v>
      </c>
      <c r="J62" s="77">
        <v>8.9</v>
      </c>
      <c r="K62" s="76">
        <v>38454196</v>
      </c>
      <c r="L62" s="76">
        <v>28319978</v>
      </c>
      <c r="M62" s="75">
        <v>0.85981989006016202</v>
      </c>
      <c r="N62" s="77">
        <v>9.8000000000000007</v>
      </c>
      <c r="O62" s="76">
        <v>36479407</v>
      </c>
      <c r="P62" s="76">
        <v>26601610</v>
      </c>
      <c r="Q62" s="75">
        <v>0.81583601339178202</v>
      </c>
      <c r="R62" s="77">
        <v>8.6999999999999993</v>
      </c>
      <c r="S62" s="76">
        <v>23754429</v>
      </c>
      <c r="T62" s="76">
        <v>18415790</v>
      </c>
      <c r="U62" s="75">
        <v>0.81339716088645797</v>
      </c>
      <c r="V62" s="77">
        <v>9.1</v>
      </c>
      <c r="W62" s="76">
        <v>27667149</v>
      </c>
      <c r="X62" s="76">
        <v>20165656</v>
      </c>
      <c r="Y62" s="75">
        <v>0.803620506437004</v>
      </c>
      <c r="Z62" s="77">
        <v>8.8000000000000007</v>
      </c>
      <c r="AA62" s="76">
        <v>31232973</v>
      </c>
      <c r="AB62" s="76">
        <v>22683186</v>
      </c>
      <c r="AC62" s="75">
        <v>0.82546393618647995</v>
      </c>
      <c r="AD62" s="77">
        <v>9</v>
      </c>
      <c r="AE62" s="76">
        <v>28767497</v>
      </c>
      <c r="AF62" s="76">
        <v>21507004</v>
      </c>
      <c r="AG62" s="75">
        <v>0.83139931007052204</v>
      </c>
      <c r="AH62" s="80">
        <v>9.3000000000000007</v>
      </c>
      <c r="AI62" s="76">
        <v>29132935</v>
      </c>
      <c r="AJ62" s="76">
        <v>22436924</v>
      </c>
      <c r="AK62" s="75">
        <v>0.80366642482924699</v>
      </c>
      <c r="AL62" s="77">
        <v>8.6</v>
      </c>
      <c r="AM62" s="76">
        <v>28007390</v>
      </c>
      <c r="AN62" s="76">
        <v>22045985</v>
      </c>
      <c r="AO62" s="75">
        <v>0.82696637685062702</v>
      </c>
      <c r="AP62" s="77">
        <v>9.1</v>
      </c>
      <c r="AQ62" s="76">
        <v>39169976</v>
      </c>
      <c r="AR62" s="76">
        <v>29214834</v>
      </c>
      <c r="AS62" s="75">
        <v>0.79734621801924799</v>
      </c>
      <c r="AT62" s="77">
        <v>8.6999999999999993</v>
      </c>
      <c r="AU62" s="76">
        <v>26697508</v>
      </c>
      <c r="AV62" s="76">
        <v>19991363</v>
      </c>
      <c r="AW62" s="75">
        <v>0.82223263344267195</v>
      </c>
      <c r="AX62" s="77">
        <v>9.1</v>
      </c>
      <c r="AY62" s="76">
        <v>25268913</v>
      </c>
      <c r="AZ62" s="76">
        <v>19101026</v>
      </c>
      <c r="BA62" s="75">
        <v>0.81456127037439896</v>
      </c>
      <c r="BB62" s="77">
        <v>9</v>
      </c>
      <c r="BC62" s="76">
        <v>27741221</v>
      </c>
      <c r="BD62" s="76">
        <v>21591262</v>
      </c>
      <c r="BE62" s="75">
        <v>0.82411350284294904</v>
      </c>
      <c r="BF62" s="77">
        <v>7.6</v>
      </c>
      <c r="BG62" s="76">
        <v>21337049</v>
      </c>
      <c r="BH62" s="76">
        <v>16493648</v>
      </c>
      <c r="BI62" s="75">
        <v>0.81259456824067899</v>
      </c>
    </row>
    <row r="63" spans="1:61" s="64" customFormat="1" ht="16" customHeight="1" x14ac:dyDescent="0.15">
      <c r="A63" s="58">
        <v>59</v>
      </c>
      <c r="B63" s="77">
        <v>9.5</v>
      </c>
      <c r="C63" s="76">
        <v>46247186</v>
      </c>
      <c r="D63" s="76">
        <v>35698760</v>
      </c>
      <c r="E63" s="75">
        <v>0.837670855299394</v>
      </c>
      <c r="F63" s="77" t="s">
        <v>22</v>
      </c>
      <c r="G63" s="76" t="s">
        <v>22</v>
      </c>
      <c r="H63" s="76" t="s">
        <v>22</v>
      </c>
      <c r="I63" s="75" t="s">
        <v>22</v>
      </c>
      <c r="J63" s="77">
        <v>7.8</v>
      </c>
      <c r="K63" s="76">
        <v>21753626</v>
      </c>
      <c r="L63" s="76">
        <v>17384260</v>
      </c>
      <c r="M63" s="75">
        <v>0.84026478578546904</v>
      </c>
      <c r="N63" s="77">
        <v>9.3000000000000007</v>
      </c>
      <c r="O63" s="76">
        <v>29672152</v>
      </c>
      <c r="P63" s="76">
        <v>18176216</v>
      </c>
      <c r="Q63" s="75">
        <v>0.83901425305608102</v>
      </c>
      <c r="R63" s="77">
        <v>8.6</v>
      </c>
      <c r="S63" s="76">
        <v>25668093</v>
      </c>
      <c r="T63" s="76">
        <v>20147292</v>
      </c>
      <c r="U63" s="75">
        <v>0.82537765796062301</v>
      </c>
      <c r="V63" s="77">
        <v>8.9</v>
      </c>
      <c r="W63" s="76">
        <v>30096649</v>
      </c>
      <c r="X63" s="76">
        <v>22081736</v>
      </c>
      <c r="Y63" s="75">
        <v>0.81032130199882302</v>
      </c>
      <c r="Z63" s="77">
        <v>8.9</v>
      </c>
      <c r="AA63" s="76">
        <v>23186995</v>
      </c>
      <c r="AB63" s="76">
        <v>16866237</v>
      </c>
      <c r="AC63" s="75">
        <v>0.82822120413892697</v>
      </c>
      <c r="AD63" s="77">
        <v>9.1999999999999993</v>
      </c>
      <c r="AE63" s="76">
        <v>31010601</v>
      </c>
      <c r="AF63" s="76">
        <v>23343501</v>
      </c>
      <c r="AG63" s="75">
        <v>0.83397462460782901</v>
      </c>
      <c r="AH63" s="80">
        <v>8.4</v>
      </c>
      <c r="AI63" s="76">
        <v>23884965</v>
      </c>
      <c r="AJ63" s="76">
        <v>18742105</v>
      </c>
      <c r="AK63" s="75">
        <v>0.81981490536050605</v>
      </c>
      <c r="AL63" s="77">
        <v>8.1999999999999993</v>
      </c>
      <c r="AM63" s="76">
        <v>24018454</v>
      </c>
      <c r="AN63" s="76">
        <v>18475273</v>
      </c>
      <c r="AO63" s="75">
        <v>0.81375876379911904</v>
      </c>
      <c r="AP63" s="77">
        <v>8.9</v>
      </c>
      <c r="AQ63" s="76">
        <v>41361209</v>
      </c>
      <c r="AR63" s="76">
        <v>29640402</v>
      </c>
      <c r="AS63" s="75">
        <v>0.81118941251251997</v>
      </c>
      <c r="AT63" s="77">
        <v>9.1</v>
      </c>
      <c r="AU63" s="76">
        <v>37239718</v>
      </c>
      <c r="AV63" s="76">
        <v>28808336</v>
      </c>
      <c r="AW63" s="75">
        <v>0.83220275097460905</v>
      </c>
      <c r="AX63" s="77">
        <v>9</v>
      </c>
      <c r="AY63" s="76">
        <v>27168103</v>
      </c>
      <c r="AZ63" s="76">
        <v>20447172</v>
      </c>
      <c r="BA63" s="75">
        <v>0.81123089277099303</v>
      </c>
      <c r="BB63" s="77">
        <v>9.1999999999999993</v>
      </c>
      <c r="BC63" s="76">
        <v>23318673</v>
      </c>
      <c r="BD63" s="76">
        <v>18061619</v>
      </c>
      <c r="BE63" s="75">
        <v>0.82239424677966599</v>
      </c>
      <c r="BF63" s="77">
        <v>8.6</v>
      </c>
      <c r="BG63" s="76">
        <v>22719347</v>
      </c>
      <c r="BH63" s="76">
        <v>17599377</v>
      </c>
      <c r="BI63" s="75">
        <v>0.814384623874021</v>
      </c>
    </row>
    <row r="64" spans="1:61" s="64" customFormat="1" ht="16" customHeight="1" x14ac:dyDescent="0.15">
      <c r="A64" s="58">
        <v>60</v>
      </c>
      <c r="B64" s="77">
        <v>9.4</v>
      </c>
      <c r="C64" s="76">
        <v>30526181</v>
      </c>
      <c r="D64" s="76">
        <v>23746953</v>
      </c>
      <c r="E64" s="75">
        <v>0.83869225202859798</v>
      </c>
      <c r="F64" s="77">
        <v>9.8000000000000007</v>
      </c>
      <c r="G64" s="76">
        <v>34633704</v>
      </c>
      <c r="H64" s="76">
        <v>27379600</v>
      </c>
      <c r="I64" s="75">
        <v>0.83222229426004701</v>
      </c>
      <c r="J64" s="77">
        <v>8.6999999999999993</v>
      </c>
      <c r="K64" s="76">
        <v>24609796</v>
      </c>
      <c r="L64" s="76">
        <v>19692361</v>
      </c>
      <c r="M64" s="75">
        <v>0.84279485028061596</v>
      </c>
      <c r="N64" s="77">
        <v>9.1</v>
      </c>
      <c r="O64" s="76">
        <v>32927856</v>
      </c>
      <c r="P64" s="76">
        <v>19336538</v>
      </c>
      <c r="Q64" s="75">
        <v>0.83123737176383805</v>
      </c>
      <c r="R64" s="77">
        <v>8.8000000000000007</v>
      </c>
      <c r="S64" s="76">
        <v>26771479</v>
      </c>
      <c r="T64" s="76">
        <v>20879753</v>
      </c>
      <c r="U64" s="75">
        <v>0.81238203931236297</v>
      </c>
      <c r="V64" s="77">
        <v>8.6999999999999993</v>
      </c>
      <c r="W64" s="76">
        <v>26078713</v>
      </c>
      <c r="X64" s="76">
        <v>18864860</v>
      </c>
      <c r="Y64" s="75">
        <v>0.80047931521064097</v>
      </c>
      <c r="Z64" s="77">
        <v>9.1</v>
      </c>
      <c r="AA64" s="76">
        <v>32233050</v>
      </c>
      <c r="AB64" s="76">
        <v>23434336</v>
      </c>
      <c r="AC64" s="75">
        <v>0.836639351382097</v>
      </c>
      <c r="AD64" s="77">
        <v>8.9</v>
      </c>
      <c r="AE64" s="76">
        <v>33173647</v>
      </c>
      <c r="AF64" s="76">
        <v>24992455</v>
      </c>
      <c r="AG64" s="75">
        <v>0.83256752861865502</v>
      </c>
      <c r="AH64" s="80">
        <v>6.5</v>
      </c>
      <c r="AI64" s="76">
        <v>28928024</v>
      </c>
      <c r="AJ64" s="76">
        <v>21138613</v>
      </c>
      <c r="AK64" s="75">
        <v>0.76478093105995404</v>
      </c>
      <c r="AL64" s="77">
        <v>7.7</v>
      </c>
      <c r="AM64" s="76">
        <v>21735728</v>
      </c>
      <c r="AN64" s="76">
        <v>16389837</v>
      </c>
      <c r="AO64" s="75">
        <v>0.80267783629205602</v>
      </c>
      <c r="AP64" s="80" t="s">
        <v>22</v>
      </c>
      <c r="AQ64" s="79" t="s">
        <v>22</v>
      </c>
      <c r="AR64" s="79" t="s">
        <v>22</v>
      </c>
      <c r="AS64" s="78" t="s">
        <v>22</v>
      </c>
      <c r="AT64" s="77">
        <v>8.9</v>
      </c>
      <c r="AU64" s="76">
        <v>25857699</v>
      </c>
      <c r="AV64" s="76">
        <v>19477243</v>
      </c>
      <c r="AW64" s="75">
        <v>0.818573102452957</v>
      </c>
      <c r="AX64" s="77">
        <v>9.1</v>
      </c>
      <c r="AY64" s="76">
        <v>25112057</v>
      </c>
      <c r="AZ64" s="76">
        <v>18801663</v>
      </c>
      <c r="BA64" s="75">
        <v>0.80678638718167595</v>
      </c>
      <c r="BB64" s="77">
        <v>9.3000000000000007</v>
      </c>
      <c r="BC64" s="76">
        <v>24551851</v>
      </c>
      <c r="BD64" s="76">
        <v>19000758</v>
      </c>
      <c r="BE64" s="75">
        <v>0.82061568684239705</v>
      </c>
      <c r="BF64" s="77">
        <v>8.6999999999999993</v>
      </c>
      <c r="BG64" s="76">
        <v>30900804</v>
      </c>
      <c r="BH64" s="76">
        <v>23182390</v>
      </c>
      <c r="BI64" s="75">
        <v>0.80518534528973995</v>
      </c>
    </row>
    <row r="65" spans="1:61" ht="16" customHeight="1" x14ac:dyDescent="0.15">
      <c r="A65" s="58">
        <v>61</v>
      </c>
      <c r="B65" s="77">
        <v>9.3000000000000007</v>
      </c>
      <c r="C65" s="76">
        <v>24769534</v>
      </c>
      <c r="D65" s="76">
        <v>19170728</v>
      </c>
      <c r="E65" s="75">
        <v>0.83624472415920903</v>
      </c>
      <c r="F65" s="77">
        <v>9.9</v>
      </c>
      <c r="G65" s="76">
        <v>26322454</v>
      </c>
      <c r="H65" s="76">
        <v>20927791</v>
      </c>
      <c r="I65" s="75">
        <v>0.83862451863161103</v>
      </c>
      <c r="J65" s="77">
        <v>8.9</v>
      </c>
      <c r="K65" s="76">
        <v>43762026</v>
      </c>
      <c r="L65" s="76">
        <v>34013574</v>
      </c>
      <c r="M65" s="75">
        <v>0.83932049869695702</v>
      </c>
      <c r="N65" s="77">
        <v>9.6</v>
      </c>
      <c r="O65" s="76">
        <v>34177808</v>
      </c>
      <c r="P65" s="76">
        <v>18479162</v>
      </c>
      <c r="Q65" s="75">
        <v>0.81545683804804703</v>
      </c>
      <c r="R65" s="77">
        <v>8.6</v>
      </c>
      <c r="S65" s="76">
        <v>23617157</v>
      </c>
      <c r="T65" s="76">
        <v>18159314</v>
      </c>
      <c r="U65" s="75">
        <v>0.80439783032952195</v>
      </c>
      <c r="V65" s="77">
        <v>9.3000000000000007</v>
      </c>
      <c r="W65" s="76">
        <v>50062326</v>
      </c>
      <c r="X65" s="76">
        <v>29060607</v>
      </c>
      <c r="Y65" s="75">
        <v>0.802664253826192</v>
      </c>
      <c r="Z65" s="77">
        <v>9.5</v>
      </c>
      <c r="AA65" s="76">
        <v>37103489</v>
      </c>
      <c r="AB65" s="76">
        <v>28414141</v>
      </c>
      <c r="AC65" s="75">
        <v>0.82817408369524104</v>
      </c>
      <c r="AD65" s="77">
        <v>9.1</v>
      </c>
      <c r="AE65" s="76">
        <v>21439823</v>
      </c>
      <c r="AF65" s="76">
        <v>16980266</v>
      </c>
      <c r="AG65" s="75">
        <v>0.82740253857545498</v>
      </c>
      <c r="AH65" s="80">
        <v>7.7</v>
      </c>
      <c r="AI65" s="76">
        <v>26029473</v>
      </c>
      <c r="AJ65" s="76">
        <v>19568707</v>
      </c>
      <c r="AK65" s="75">
        <v>0.79727114799597298</v>
      </c>
      <c r="AL65" s="77">
        <v>9.1999999999999993</v>
      </c>
      <c r="AM65" s="76">
        <v>31202551</v>
      </c>
      <c r="AN65" s="76">
        <v>23168071</v>
      </c>
      <c r="AO65" s="75">
        <v>0.79924507311665904</v>
      </c>
      <c r="AP65" s="77">
        <v>9.3000000000000007</v>
      </c>
      <c r="AQ65" s="76">
        <v>24724400</v>
      </c>
      <c r="AR65" s="76">
        <v>19103432</v>
      </c>
      <c r="AS65" s="75">
        <v>0.81585762792762295</v>
      </c>
      <c r="AT65" s="77">
        <v>9</v>
      </c>
      <c r="AU65" s="76">
        <v>25653765</v>
      </c>
      <c r="AV65" s="76">
        <v>19227966</v>
      </c>
      <c r="AW65" s="75">
        <v>0.81660406859639201</v>
      </c>
      <c r="AX65" s="77">
        <v>9</v>
      </c>
      <c r="AY65" s="76">
        <v>24180822</v>
      </c>
      <c r="AZ65" s="76">
        <v>18139858</v>
      </c>
      <c r="BA65" s="75">
        <v>0.80737400838874396</v>
      </c>
      <c r="BB65" s="77">
        <v>9</v>
      </c>
      <c r="BC65" s="76">
        <v>29615847</v>
      </c>
      <c r="BD65" s="76">
        <v>22717502</v>
      </c>
      <c r="BE65" s="75">
        <v>0.81366845403293897</v>
      </c>
      <c r="BF65" s="77">
        <v>9</v>
      </c>
      <c r="BG65" s="76">
        <v>32587191</v>
      </c>
      <c r="BH65" s="76">
        <v>24828576</v>
      </c>
      <c r="BI65" s="75">
        <v>0.80113108256472898</v>
      </c>
    </row>
    <row r="66" spans="1:61" ht="16" customHeight="1" x14ac:dyDescent="0.15">
      <c r="A66" s="58">
        <v>62</v>
      </c>
      <c r="B66" s="77">
        <v>9.1999999999999993</v>
      </c>
      <c r="C66" s="76">
        <v>25355371</v>
      </c>
      <c r="D66" s="76">
        <v>19666032</v>
      </c>
      <c r="E66" s="75">
        <v>0.83493686718322602</v>
      </c>
      <c r="F66" s="77">
        <v>9.6999999999999993</v>
      </c>
      <c r="G66" s="76">
        <v>25355651</v>
      </c>
      <c r="H66" s="76">
        <v>20170402</v>
      </c>
      <c r="I66" s="75">
        <v>0.83964292783523198</v>
      </c>
      <c r="J66" s="77">
        <v>9</v>
      </c>
      <c r="K66" s="76">
        <v>28840873</v>
      </c>
      <c r="L66" s="76">
        <v>22698832</v>
      </c>
      <c r="M66" s="75">
        <v>0.83718480905690296</v>
      </c>
      <c r="N66" s="77">
        <v>9.1999999999999993</v>
      </c>
      <c r="O66" s="76">
        <v>35506729</v>
      </c>
      <c r="P66" s="76">
        <v>18528342</v>
      </c>
      <c r="Q66" s="75">
        <v>0.81084376740784203</v>
      </c>
      <c r="R66" s="77">
        <v>8.6999999999999993</v>
      </c>
      <c r="S66" s="76">
        <v>22229290</v>
      </c>
      <c r="T66" s="76">
        <v>16979578</v>
      </c>
      <c r="U66" s="75">
        <v>0.80784320106451402</v>
      </c>
      <c r="V66" s="77">
        <v>8.8000000000000007</v>
      </c>
      <c r="W66" s="76">
        <v>29556949</v>
      </c>
      <c r="X66" s="76">
        <v>21430999</v>
      </c>
      <c r="Y66" s="75">
        <v>0.800208582212241</v>
      </c>
      <c r="Z66" s="77">
        <v>9</v>
      </c>
      <c r="AA66" s="76">
        <v>33013162</v>
      </c>
      <c r="AB66" s="76">
        <v>25331770</v>
      </c>
      <c r="AC66" s="75">
        <v>0.82948189851832699</v>
      </c>
      <c r="AD66" s="77">
        <v>8.9</v>
      </c>
      <c r="AE66" s="76">
        <v>25237488</v>
      </c>
      <c r="AF66" s="76">
        <v>20132037</v>
      </c>
      <c r="AG66" s="75">
        <v>0.83278703674134502</v>
      </c>
      <c r="AH66" s="80">
        <v>7.8</v>
      </c>
      <c r="AI66" s="76">
        <v>25378697</v>
      </c>
      <c r="AJ66" s="76">
        <v>19505042</v>
      </c>
      <c r="AK66" s="75">
        <v>0.80501341713654195</v>
      </c>
      <c r="AL66" s="77">
        <v>8.6</v>
      </c>
      <c r="AM66" s="76">
        <v>22870040</v>
      </c>
      <c r="AN66" s="76">
        <v>17813737</v>
      </c>
      <c r="AO66" s="75">
        <v>0.82257477926512101</v>
      </c>
      <c r="AP66" s="77">
        <v>9.1999999999999993</v>
      </c>
      <c r="AQ66" s="76">
        <v>29586593</v>
      </c>
      <c r="AR66" s="76">
        <v>22488705</v>
      </c>
      <c r="AS66" s="75">
        <v>0.80440803069360001</v>
      </c>
      <c r="AT66" s="80" t="s">
        <v>22</v>
      </c>
      <c r="AU66" s="79" t="s">
        <v>22</v>
      </c>
      <c r="AV66" s="79" t="s">
        <v>22</v>
      </c>
      <c r="AW66" s="78" t="s">
        <v>22</v>
      </c>
      <c r="AX66" s="77">
        <v>9.3000000000000007</v>
      </c>
      <c r="AY66" s="76">
        <v>26126081</v>
      </c>
      <c r="AZ66" s="76">
        <v>19765518</v>
      </c>
      <c r="BA66" s="75">
        <v>0.81322800307788301</v>
      </c>
      <c r="BB66" s="77">
        <v>9</v>
      </c>
      <c r="BC66" s="76">
        <v>25137017</v>
      </c>
      <c r="BD66" s="76">
        <v>19529354</v>
      </c>
      <c r="BE66" s="75">
        <v>0.82221370744213895</v>
      </c>
      <c r="BF66" s="77">
        <v>9</v>
      </c>
      <c r="BG66" s="76">
        <v>28618506</v>
      </c>
      <c r="BH66" s="76">
        <v>22377695</v>
      </c>
      <c r="BI66" s="75">
        <v>0.81964669881492402</v>
      </c>
    </row>
    <row r="67" spans="1:61" ht="16" customHeight="1" x14ac:dyDescent="0.15">
      <c r="A67" s="58">
        <v>63</v>
      </c>
      <c r="B67" s="77">
        <v>9.5</v>
      </c>
      <c r="C67" s="76">
        <v>40511769</v>
      </c>
      <c r="D67" s="76">
        <v>22698245</v>
      </c>
      <c r="E67" s="75">
        <v>0.84355940169100996</v>
      </c>
      <c r="F67" s="77">
        <v>9.5</v>
      </c>
      <c r="G67" s="76">
        <v>24391878</v>
      </c>
      <c r="H67" s="76">
        <v>17092579</v>
      </c>
      <c r="I67" s="75">
        <v>0.83919942929301905</v>
      </c>
      <c r="J67" s="77">
        <v>9</v>
      </c>
      <c r="K67" s="76">
        <v>35178818</v>
      </c>
      <c r="L67" s="76">
        <v>20189550</v>
      </c>
      <c r="M67" s="75">
        <v>0.84579810160804503</v>
      </c>
      <c r="N67" s="77">
        <v>9.1</v>
      </c>
      <c r="O67" s="76">
        <v>53513319</v>
      </c>
      <c r="P67" s="76">
        <v>18282910</v>
      </c>
      <c r="Q67" s="75">
        <v>0.81609408120646998</v>
      </c>
      <c r="R67" s="77">
        <v>8.9</v>
      </c>
      <c r="S67" s="76">
        <v>49007412</v>
      </c>
      <c r="T67" s="76">
        <v>27849165</v>
      </c>
      <c r="U67" s="75">
        <v>0.80364965999694404</v>
      </c>
      <c r="V67" s="77">
        <v>9.4</v>
      </c>
      <c r="W67" s="76">
        <v>32892391</v>
      </c>
      <c r="X67" s="76">
        <v>17273294</v>
      </c>
      <c r="Y67" s="75">
        <v>0.80795211923267496</v>
      </c>
      <c r="Z67" s="77">
        <v>9.5</v>
      </c>
      <c r="AA67" s="76">
        <v>48232705</v>
      </c>
      <c r="AB67" s="76">
        <v>28210835</v>
      </c>
      <c r="AC67" s="75">
        <v>0.83290137018405896</v>
      </c>
      <c r="AD67" s="77">
        <v>9.1999999999999993</v>
      </c>
      <c r="AE67" s="76">
        <v>39519659</v>
      </c>
      <c r="AF67" s="76">
        <v>31513363</v>
      </c>
      <c r="AG67" s="75">
        <v>0.83341614594074398</v>
      </c>
      <c r="AH67" s="80">
        <v>9.1999999999999993</v>
      </c>
      <c r="AI67" s="76">
        <v>29159051</v>
      </c>
      <c r="AJ67" s="76">
        <v>19584082</v>
      </c>
      <c r="AK67" s="75">
        <v>0.81134477637879698</v>
      </c>
      <c r="AL67" s="77">
        <v>8.6999999999999993</v>
      </c>
      <c r="AM67" s="76">
        <v>41558801</v>
      </c>
      <c r="AN67" s="76">
        <v>27386046</v>
      </c>
      <c r="AO67" s="75">
        <v>0.83292315297715402</v>
      </c>
      <c r="AP67" s="77">
        <v>9.1999999999999993</v>
      </c>
      <c r="AQ67" s="76">
        <v>31267272</v>
      </c>
      <c r="AR67" s="76">
        <v>23688061</v>
      </c>
      <c r="AS67" s="75">
        <v>0.81902331651864302</v>
      </c>
      <c r="AT67" s="77">
        <v>9.1</v>
      </c>
      <c r="AU67" s="76">
        <v>33664149</v>
      </c>
      <c r="AV67" s="76">
        <v>18383035</v>
      </c>
      <c r="AW67" s="75">
        <v>0.81649936745070995</v>
      </c>
      <c r="AX67" s="77">
        <v>9.5</v>
      </c>
      <c r="AY67" s="76">
        <v>38358535</v>
      </c>
      <c r="AZ67" s="76">
        <v>19635334</v>
      </c>
      <c r="BA67" s="75">
        <v>0.81535722357877505</v>
      </c>
      <c r="BB67" s="77">
        <v>9.1999999999999993</v>
      </c>
      <c r="BC67" s="76">
        <v>30981756</v>
      </c>
      <c r="BD67" s="76">
        <v>17133535</v>
      </c>
      <c r="BE67" s="75">
        <v>0.81854483868964301</v>
      </c>
      <c r="BF67" s="77" t="s">
        <v>22</v>
      </c>
      <c r="BG67" s="76">
        <v>23497267</v>
      </c>
      <c r="BH67" s="76">
        <v>17516127</v>
      </c>
      <c r="BI67" s="75">
        <v>0.80033134281521401</v>
      </c>
    </row>
    <row r="68" spans="1:61" ht="16" customHeight="1" x14ac:dyDescent="0.15">
      <c r="A68" s="58">
        <v>64</v>
      </c>
      <c r="B68" s="77">
        <v>9.4</v>
      </c>
      <c r="C68" s="76">
        <v>25181581</v>
      </c>
      <c r="D68" s="76">
        <v>19452897</v>
      </c>
      <c r="E68" s="75">
        <v>0.83250941440764603</v>
      </c>
      <c r="F68" s="77">
        <v>9.4</v>
      </c>
      <c r="G68" s="76">
        <v>28707704</v>
      </c>
      <c r="H68" s="76">
        <v>22570891</v>
      </c>
      <c r="I68" s="75">
        <v>0.83310510894735401</v>
      </c>
      <c r="J68" s="77">
        <v>8.9</v>
      </c>
      <c r="K68" s="76">
        <v>32453041</v>
      </c>
      <c r="L68" s="76">
        <v>25662026</v>
      </c>
      <c r="M68" s="75">
        <v>0.84261023983502703</v>
      </c>
      <c r="N68" s="77">
        <v>9</v>
      </c>
      <c r="O68" s="76">
        <v>34810074</v>
      </c>
      <c r="P68" s="76">
        <v>18315339</v>
      </c>
      <c r="Q68" s="75">
        <v>0.80185530516301196</v>
      </c>
      <c r="R68" s="77">
        <v>8.5</v>
      </c>
      <c r="S68" s="76">
        <v>22986839</v>
      </c>
      <c r="T68" s="76">
        <v>16872889</v>
      </c>
      <c r="U68" s="75">
        <v>0.80994945907088201</v>
      </c>
      <c r="V68" s="77">
        <v>8.8000000000000007</v>
      </c>
      <c r="W68" s="76">
        <v>27856775</v>
      </c>
      <c r="X68" s="76">
        <v>19994974</v>
      </c>
      <c r="Y68" s="75">
        <v>0.79192325158604704</v>
      </c>
      <c r="Z68" s="77">
        <v>8.9</v>
      </c>
      <c r="AA68" s="76">
        <v>28285269</v>
      </c>
      <c r="AB68" s="76">
        <v>21803964</v>
      </c>
      <c r="AC68" s="75">
        <v>0.82986568363476598</v>
      </c>
      <c r="AD68" s="77">
        <v>9.1</v>
      </c>
      <c r="AE68" s="76">
        <v>24305926</v>
      </c>
      <c r="AF68" s="76">
        <v>19400540</v>
      </c>
      <c r="AG68" s="75">
        <v>0.833931791694279</v>
      </c>
      <c r="AH68" s="80">
        <v>8</v>
      </c>
      <c r="AI68" s="76">
        <v>22024594</v>
      </c>
      <c r="AJ68" s="76">
        <v>17091536</v>
      </c>
      <c r="AK68" s="75">
        <v>0.81242282023231105</v>
      </c>
      <c r="AL68" s="77">
        <v>8.5</v>
      </c>
      <c r="AM68" s="76">
        <v>22464451</v>
      </c>
      <c r="AN68" s="76">
        <v>17465122</v>
      </c>
      <c r="AO68" s="75">
        <v>0.81890754042826597</v>
      </c>
      <c r="AP68" s="77">
        <v>9.3000000000000007</v>
      </c>
      <c r="AQ68" s="76">
        <v>22545758</v>
      </c>
      <c r="AR68" s="76">
        <v>17155599</v>
      </c>
      <c r="AS68" s="75">
        <v>0.81307963669903405</v>
      </c>
      <c r="AT68" s="77">
        <v>6.3</v>
      </c>
      <c r="AU68" s="76">
        <v>24732400</v>
      </c>
      <c r="AV68" s="76">
        <v>18597743</v>
      </c>
      <c r="AW68" s="75">
        <v>0.81991382982466099</v>
      </c>
      <c r="AX68" s="77">
        <v>9.3000000000000007</v>
      </c>
      <c r="AY68" s="76">
        <v>24835563</v>
      </c>
      <c r="AZ68" s="76">
        <v>18660040</v>
      </c>
      <c r="BA68" s="75">
        <v>0.80781457188733397</v>
      </c>
      <c r="BB68" s="77">
        <v>9</v>
      </c>
      <c r="BC68" s="76">
        <v>23467445</v>
      </c>
      <c r="BD68" s="76">
        <v>18142572</v>
      </c>
      <c r="BE68" s="75">
        <v>0.81787754890070097</v>
      </c>
      <c r="BF68" s="77">
        <v>9</v>
      </c>
      <c r="BG68" s="76">
        <v>33498805</v>
      </c>
      <c r="BH68" s="76">
        <v>23036636</v>
      </c>
      <c r="BI68" s="75">
        <v>0.81835654201970398</v>
      </c>
    </row>
    <row r="69" spans="1:61" ht="16" customHeight="1" x14ac:dyDescent="0.15">
      <c r="A69" s="58">
        <v>65</v>
      </c>
      <c r="B69" s="77">
        <v>9.6</v>
      </c>
      <c r="C69" s="76">
        <v>23043155</v>
      </c>
      <c r="D69" s="76">
        <v>17836208</v>
      </c>
      <c r="E69" s="75">
        <v>0.83512894575798702</v>
      </c>
      <c r="F69" s="77">
        <v>9.4</v>
      </c>
      <c r="G69" s="76">
        <v>23721999</v>
      </c>
      <c r="H69" s="76">
        <v>18778915</v>
      </c>
      <c r="I69" s="75">
        <v>0.83542702641574496</v>
      </c>
      <c r="J69" s="77">
        <v>8.8000000000000007</v>
      </c>
      <c r="K69" s="76">
        <v>30955456</v>
      </c>
      <c r="L69" s="76">
        <v>23977120</v>
      </c>
      <c r="M69" s="75">
        <v>0.82760112745376702</v>
      </c>
      <c r="N69" s="77">
        <v>9.5</v>
      </c>
      <c r="O69" s="76">
        <v>37595195</v>
      </c>
      <c r="P69" s="76">
        <v>20445971</v>
      </c>
      <c r="Q69" s="75">
        <v>0.79145220343455003</v>
      </c>
      <c r="R69" s="77">
        <v>8.6999999999999993</v>
      </c>
      <c r="S69" s="76">
        <v>24059164</v>
      </c>
      <c r="T69" s="76">
        <v>18394560</v>
      </c>
      <c r="U69" s="75">
        <v>0.80651665258864302</v>
      </c>
      <c r="V69" s="77">
        <v>9</v>
      </c>
      <c r="W69" s="76">
        <v>24067630</v>
      </c>
      <c r="X69" s="76">
        <v>17319409</v>
      </c>
      <c r="Y69" s="75">
        <v>0.79790765073966496</v>
      </c>
      <c r="Z69" s="77">
        <v>9.1</v>
      </c>
      <c r="AA69" s="76">
        <v>30754107</v>
      </c>
      <c r="AB69" s="76">
        <v>24446351</v>
      </c>
      <c r="AC69" s="75">
        <v>0.833934634804403</v>
      </c>
      <c r="AD69" s="77">
        <v>9</v>
      </c>
      <c r="AE69" s="76">
        <v>24379743</v>
      </c>
      <c r="AF69" s="76">
        <v>19057139</v>
      </c>
      <c r="AG69" s="75">
        <v>0.83324147062876897</v>
      </c>
      <c r="AH69" s="80">
        <v>7.3</v>
      </c>
      <c r="AI69" s="76">
        <v>21651337</v>
      </c>
      <c r="AJ69" s="76">
        <v>16535803</v>
      </c>
      <c r="AK69" s="75">
        <v>0.80066078543260299</v>
      </c>
      <c r="AL69" s="77">
        <v>8.6999999999999993</v>
      </c>
      <c r="AM69" s="76">
        <v>22017998</v>
      </c>
      <c r="AN69" s="76">
        <v>17290478</v>
      </c>
      <c r="AO69" s="75">
        <v>0.82789687304478199</v>
      </c>
      <c r="AP69" s="77">
        <v>9</v>
      </c>
      <c r="AQ69" s="76">
        <v>30910636</v>
      </c>
      <c r="AR69" s="76">
        <v>23029497</v>
      </c>
      <c r="AS69" s="75">
        <v>0.81462215386274095</v>
      </c>
      <c r="AT69" s="77">
        <v>9.1999999999999993</v>
      </c>
      <c r="AU69" s="76">
        <v>24441549</v>
      </c>
      <c r="AV69" s="76">
        <v>18239115</v>
      </c>
      <c r="AW69" s="75">
        <v>0.81145429542195702</v>
      </c>
      <c r="AX69" s="77">
        <v>9.1</v>
      </c>
      <c r="AY69" s="76">
        <v>26506187</v>
      </c>
      <c r="AZ69" s="76">
        <v>19705652</v>
      </c>
      <c r="BA69" s="75">
        <v>0.80122408188877503</v>
      </c>
      <c r="BB69" s="77">
        <v>7.8</v>
      </c>
      <c r="BC69" s="76">
        <v>28619520</v>
      </c>
      <c r="BD69" s="76">
        <v>22141483</v>
      </c>
      <c r="BE69" s="75">
        <v>0.81827856438909097</v>
      </c>
      <c r="BF69" s="77">
        <v>9.3000000000000007</v>
      </c>
      <c r="BG69" s="76">
        <v>21883436</v>
      </c>
      <c r="BH69" s="76">
        <v>16883872</v>
      </c>
      <c r="BI69" s="75">
        <v>0.808664907297868</v>
      </c>
    </row>
    <row r="70" spans="1:61" ht="16" customHeight="1" x14ac:dyDescent="0.15">
      <c r="A70" s="58">
        <v>66</v>
      </c>
      <c r="B70" s="77">
        <v>9.6</v>
      </c>
      <c r="C70" s="76">
        <v>24886687</v>
      </c>
      <c r="D70" s="76">
        <v>19260029</v>
      </c>
      <c r="E70" s="75">
        <v>0.836358644116167</v>
      </c>
      <c r="F70" s="77">
        <v>9.6</v>
      </c>
      <c r="G70" s="76">
        <v>26982719</v>
      </c>
      <c r="H70" s="76">
        <v>21361061</v>
      </c>
      <c r="I70" s="75">
        <v>0.83605697852352201</v>
      </c>
      <c r="J70" s="77">
        <v>8.6999999999999993</v>
      </c>
      <c r="K70" s="76">
        <v>28969124</v>
      </c>
      <c r="L70" s="76">
        <v>22709458</v>
      </c>
      <c r="M70" s="75">
        <v>0.83763421370753399</v>
      </c>
      <c r="N70" s="77">
        <v>9.6</v>
      </c>
      <c r="O70" s="76">
        <v>36103738</v>
      </c>
      <c r="P70" s="76">
        <v>18973441</v>
      </c>
      <c r="Q70" s="75">
        <v>0.78722862134590099</v>
      </c>
      <c r="R70" s="77">
        <v>8.9</v>
      </c>
      <c r="S70" s="76">
        <v>25307539</v>
      </c>
      <c r="T70" s="76">
        <v>19240607</v>
      </c>
      <c r="U70" s="75">
        <v>0.79889094681244099</v>
      </c>
      <c r="V70" s="77">
        <v>8.8000000000000007</v>
      </c>
      <c r="W70" s="76">
        <v>25343073</v>
      </c>
      <c r="X70" s="76">
        <v>18258814</v>
      </c>
      <c r="Y70" s="75">
        <v>0.79910520662675399</v>
      </c>
      <c r="Z70" s="77">
        <v>8.5</v>
      </c>
      <c r="AA70" s="76">
        <v>31109835</v>
      </c>
      <c r="AB70" s="76">
        <v>24596842</v>
      </c>
      <c r="AC70" s="75">
        <v>0.83092240309829302</v>
      </c>
      <c r="AD70" s="77">
        <v>8.8000000000000007</v>
      </c>
      <c r="AE70" s="76">
        <v>23970215</v>
      </c>
      <c r="AF70" s="76">
        <v>18840184</v>
      </c>
      <c r="AG70" s="75">
        <v>0.83186194405650604</v>
      </c>
      <c r="AH70" s="80">
        <v>8</v>
      </c>
      <c r="AI70" s="76">
        <v>23317227</v>
      </c>
      <c r="AJ70" s="76">
        <v>17964042</v>
      </c>
      <c r="AK70" s="75">
        <v>0.80879327865722295</v>
      </c>
      <c r="AL70" s="77">
        <v>8.6999999999999993</v>
      </c>
      <c r="AM70" s="76">
        <v>26373609</v>
      </c>
      <c r="AN70" s="76">
        <v>20727269</v>
      </c>
      <c r="AO70" s="75">
        <v>0.82602807917029897</v>
      </c>
      <c r="AP70" s="77">
        <v>9</v>
      </c>
      <c r="AQ70" s="76">
        <v>24992323</v>
      </c>
      <c r="AR70" s="76">
        <v>18506358</v>
      </c>
      <c r="AS70" s="75">
        <v>0.81042585289912294</v>
      </c>
      <c r="AT70" s="77">
        <v>9</v>
      </c>
      <c r="AU70" s="76">
        <v>25437818</v>
      </c>
      <c r="AV70" s="76">
        <v>18714248</v>
      </c>
      <c r="AW70" s="75">
        <v>0.80693842288532203</v>
      </c>
      <c r="AX70" s="77">
        <v>9.1999999999999993</v>
      </c>
      <c r="AY70" s="76">
        <v>26398771</v>
      </c>
      <c r="AZ70" s="76">
        <v>19635907</v>
      </c>
      <c r="BA70" s="75">
        <v>0.80238164967849601</v>
      </c>
      <c r="BB70" s="77">
        <v>9.1</v>
      </c>
      <c r="BC70" s="76">
        <v>25368036</v>
      </c>
      <c r="BD70" s="76">
        <v>19322636</v>
      </c>
      <c r="BE70" s="75">
        <v>0.81509886998499903</v>
      </c>
      <c r="BF70" s="77">
        <v>9.1999999999999993</v>
      </c>
      <c r="BG70" s="76">
        <v>28148034</v>
      </c>
      <c r="BH70" s="76">
        <v>21558799</v>
      </c>
      <c r="BI70" s="75">
        <v>0.80388615592143597</v>
      </c>
    </row>
    <row r="71" spans="1:61" ht="16" customHeight="1" x14ac:dyDescent="0.15">
      <c r="A71" s="58">
        <v>67</v>
      </c>
      <c r="B71" s="77">
        <v>9.4</v>
      </c>
      <c r="C71" s="76">
        <v>23620172</v>
      </c>
      <c r="D71" s="76">
        <v>18321765</v>
      </c>
      <c r="E71" s="75">
        <v>0.84033102183535702</v>
      </c>
      <c r="F71" s="77">
        <v>9.1999999999999993</v>
      </c>
      <c r="G71" s="76">
        <v>26401511</v>
      </c>
      <c r="H71" s="76">
        <v>20938941</v>
      </c>
      <c r="I71" s="75">
        <v>0.83886012133319199</v>
      </c>
      <c r="J71" s="77">
        <v>8.5</v>
      </c>
      <c r="K71" s="76">
        <v>25816949</v>
      </c>
      <c r="L71" s="76">
        <v>20314601</v>
      </c>
      <c r="M71" s="75">
        <v>0.83377482745160003</v>
      </c>
      <c r="N71" s="77">
        <v>9.1999999999999993</v>
      </c>
      <c r="O71" s="76">
        <v>36571246</v>
      </c>
      <c r="P71" s="76">
        <v>19649582</v>
      </c>
      <c r="Q71" s="75">
        <v>0.79171673424606304</v>
      </c>
      <c r="R71" s="77">
        <v>8.6</v>
      </c>
      <c r="S71" s="76">
        <v>27759534</v>
      </c>
      <c r="T71" s="76">
        <v>21550124</v>
      </c>
      <c r="U71" s="75">
        <v>0.81401853481208597</v>
      </c>
      <c r="V71" s="77">
        <v>8.9</v>
      </c>
      <c r="W71" s="76">
        <v>24331226</v>
      </c>
      <c r="X71" s="76">
        <v>17669183</v>
      </c>
      <c r="Y71" s="75">
        <v>0.80267982074563105</v>
      </c>
      <c r="Z71" s="77">
        <v>8.6999999999999993</v>
      </c>
      <c r="AA71" s="76">
        <v>29648168</v>
      </c>
      <c r="AB71" s="76">
        <v>21496664</v>
      </c>
      <c r="AC71" s="75">
        <v>0.83224069627312003</v>
      </c>
      <c r="AD71" s="77">
        <v>8.9</v>
      </c>
      <c r="AE71" s="76">
        <v>23820762</v>
      </c>
      <c r="AF71" s="76">
        <v>18782676</v>
      </c>
      <c r="AG71" s="75">
        <v>0.83364565440670502</v>
      </c>
      <c r="AH71" s="80">
        <v>8.6999999999999993</v>
      </c>
      <c r="AI71" s="76">
        <v>24427427</v>
      </c>
      <c r="AJ71" s="76">
        <v>18930768</v>
      </c>
      <c r="AK71" s="75">
        <v>0.81441797762708601</v>
      </c>
      <c r="AL71" s="77">
        <v>8.6999999999999993</v>
      </c>
      <c r="AM71" s="76">
        <v>22426180</v>
      </c>
      <c r="AN71" s="76">
        <v>17517938</v>
      </c>
      <c r="AO71" s="75">
        <v>0.82640355006634902</v>
      </c>
      <c r="AP71" s="77">
        <v>9</v>
      </c>
      <c r="AQ71" s="76">
        <v>26289365</v>
      </c>
      <c r="AR71" s="76">
        <v>19632489</v>
      </c>
      <c r="AS71" s="75">
        <v>0.817305811340027</v>
      </c>
      <c r="AT71" s="77">
        <v>9.1999999999999993</v>
      </c>
      <c r="AU71" s="76">
        <v>27642180</v>
      </c>
      <c r="AV71" s="76">
        <v>20977115</v>
      </c>
      <c r="AW71" s="75">
        <v>0.82111573033747498</v>
      </c>
      <c r="AX71" s="77">
        <v>9.1999999999999993</v>
      </c>
      <c r="AY71" s="76">
        <v>26901941</v>
      </c>
      <c r="AZ71" s="76">
        <v>20288462</v>
      </c>
      <c r="BA71" s="75">
        <v>0.81360513467468998</v>
      </c>
      <c r="BB71" s="77">
        <v>8.8000000000000007</v>
      </c>
      <c r="BC71" s="76">
        <v>32857414</v>
      </c>
      <c r="BD71" s="76">
        <v>25506901</v>
      </c>
      <c r="BE71" s="75">
        <v>0.82230793689981496</v>
      </c>
      <c r="BF71" s="77">
        <v>8.6999999999999993</v>
      </c>
      <c r="BG71" s="76">
        <v>28009110</v>
      </c>
      <c r="BH71" s="76">
        <v>21752417</v>
      </c>
      <c r="BI71" s="75">
        <v>0.815811597339137</v>
      </c>
    </row>
    <row r="72" spans="1:61" ht="16" customHeight="1" x14ac:dyDescent="0.15">
      <c r="A72" s="58">
        <v>68</v>
      </c>
      <c r="B72" s="77">
        <v>9.3000000000000007</v>
      </c>
      <c r="C72" s="76">
        <v>28742670</v>
      </c>
      <c r="D72" s="76">
        <v>22189523</v>
      </c>
      <c r="E72" s="75">
        <v>0.83367872194267001</v>
      </c>
      <c r="F72" s="77">
        <v>9.1</v>
      </c>
      <c r="G72" s="76">
        <v>25722009</v>
      </c>
      <c r="H72" s="76">
        <v>20377133</v>
      </c>
      <c r="I72" s="75">
        <v>0.83765750937358796</v>
      </c>
      <c r="J72" s="77">
        <v>8</v>
      </c>
      <c r="K72" s="76">
        <v>23638478</v>
      </c>
      <c r="L72" s="76">
        <v>18396012</v>
      </c>
      <c r="M72" s="75">
        <v>0.82123726393350205</v>
      </c>
      <c r="N72" s="77">
        <v>8.8000000000000007</v>
      </c>
      <c r="O72" s="76">
        <v>38633974</v>
      </c>
      <c r="P72" s="76">
        <v>19383353</v>
      </c>
      <c r="Q72" s="75">
        <v>0.806489217860338</v>
      </c>
      <c r="R72" s="77">
        <v>8.8000000000000007</v>
      </c>
      <c r="S72" s="76">
        <v>48895784</v>
      </c>
      <c r="T72" s="76">
        <v>37875151</v>
      </c>
      <c r="U72" s="75">
        <v>0.80695528982703701</v>
      </c>
      <c r="V72" s="77">
        <v>8.6999999999999993</v>
      </c>
      <c r="W72" s="76">
        <v>25433642</v>
      </c>
      <c r="X72" s="76">
        <v>18178268</v>
      </c>
      <c r="Y72" s="75">
        <v>0.791226180538804</v>
      </c>
      <c r="Z72" s="77">
        <v>8.8000000000000007</v>
      </c>
      <c r="AA72" s="76">
        <v>24985426</v>
      </c>
      <c r="AB72" s="76">
        <v>18017426</v>
      </c>
      <c r="AC72" s="75">
        <v>0.82109749113867303</v>
      </c>
      <c r="AD72" s="77">
        <v>8.9</v>
      </c>
      <c r="AE72" s="76">
        <v>24118451</v>
      </c>
      <c r="AF72" s="76">
        <v>18890421</v>
      </c>
      <c r="AG72" s="75">
        <v>0.83004673203955603</v>
      </c>
      <c r="AH72" s="80" t="s">
        <v>22</v>
      </c>
      <c r="AI72" s="76">
        <v>27063796</v>
      </c>
      <c r="AJ72" s="76">
        <v>19414121</v>
      </c>
      <c r="AK72" s="75">
        <v>0.75274284732997598</v>
      </c>
      <c r="AL72" s="77">
        <v>8.8000000000000007</v>
      </c>
      <c r="AM72" s="76">
        <v>22465058</v>
      </c>
      <c r="AN72" s="76">
        <v>17652623</v>
      </c>
      <c r="AO72" s="75">
        <v>0.82759023389850705</v>
      </c>
      <c r="AP72" s="77">
        <v>9</v>
      </c>
      <c r="AQ72" s="76">
        <v>30689710</v>
      </c>
      <c r="AR72" s="76">
        <v>23287749</v>
      </c>
      <c r="AS72" s="75">
        <v>0.81729827925412202</v>
      </c>
      <c r="AT72" s="77">
        <v>9</v>
      </c>
      <c r="AU72" s="76">
        <v>25177164</v>
      </c>
      <c r="AV72" s="76">
        <v>18896971</v>
      </c>
      <c r="AW72" s="75">
        <v>0.81459013039583295</v>
      </c>
      <c r="AX72" s="77">
        <v>9.3000000000000007</v>
      </c>
      <c r="AY72" s="76">
        <v>28383456</v>
      </c>
      <c r="AZ72" s="76">
        <v>21303822</v>
      </c>
      <c r="BA72" s="75">
        <v>0.809749720477413</v>
      </c>
      <c r="BB72" s="77">
        <v>8.6999999999999993</v>
      </c>
      <c r="BC72" s="76">
        <v>24140517</v>
      </c>
      <c r="BD72" s="76">
        <v>18476616</v>
      </c>
      <c r="BE72" s="75">
        <v>0.81803415625906095</v>
      </c>
      <c r="BF72" s="77">
        <v>8.3000000000000007</v>
      </c>
      <c r="BG72" s="76">
        <v>27032571</v>
      </c>
      <c r="BH72" s="76">
        <v>20859815</v>
      </c>
      <c r="BI72" s="75">
        <v>0.81039010917481202</v>
      </c>
    </row>
    <row r="73" spans="1:61" ht="16" customHeight="1" x14ac:dyDescent="0.15">
      <c r="A73" s="58">
        <v>69</v>
      </c>
      <c r="B73" s="77">
        <v>9.6</v>
      </c>
      <c r="C73" s="76">
        <v>27827848</v>
      </c>
      <c r="D73" s="76">
        <v>21416909</v>
      </c>
      <c r="E73" s="75">
        <v>0.834433890479512</v>
      </c>
      <c r="F73" s="77">
        <v>9.3000000000000007</v>
      </c>
      <c r="G73" s="76">
        <v>23915112</v>
      </c>
      <c r="H73" s="76">
        <v>18904296</v>
      </c>
      <c r="I73" s="75">
        <v>0.83656040987632097</v>
      </c>
      <c r="J73" s="77">
        <v>8.8000000000000007</v>
      </c>
      <c r="K73" s="76">
        <v>21825404</v>
      </c>
      <c r="L73" s="76">
        <v>17418686</v>
      </c>
      <c r="M73" s="75">
        <v>0.84138323791784897</v>
      </c>
      <c r="N73" s="77">
        <v>9</v>
      </c>
      <c r="O73" s="76">
        <v>41145350</v>
      </c>
      <c r="P73" s="76">
        <v>30184135</v>
      </c>
      <c r="Q73" s="75">
        <v>0.82666658815596705</v>
      </c>
      <c r="R73" s="77">
        <v>8.9</v>
      </c>
      <c r="S73" s="76">
        <v>23034879</v>
      </c>
      <c r="T73" s="76">
        <v>17751639</v>
      </c>
      <c r="U73" s="75">
        <v>0.81088818592008705</v>
      </c>
      <c r="V73" s="77">
        <v>9.1</v>
      </c>
      <c r="W73" s="76">
        <v>29970562</v>
      </c>
      <c r="X73" s="76">
        <v>21588904</v>
      </c>
      <c r="Y73" s="75">
        <v>0.80616636929604102</v>
      </c>
      <c r="Z73" s="77">
        <v>8.8000000000000007</v>
      </c>
      <c r="AA73" s="76">
        <v>26315966</v>
      </c>
      <c r="AB73" s="76">
        <v>19022281</v>
      </c>
      <c r="AC73" s="75">
        <v>0.82846740410877495</v>
      </c>
      <c r="AD73" s="77">
        <v>9.1</v>
      </c>
      <c r="AE73" s="76">
        <v>25705359</v>
      </c>
      <c r="AF73" s="76">
        <v>19941997</v>
      </c>
      <c r="AG73" s="75">
        <v>0.831409567540218</v>
      </c>
      <c r="AH73" s="80">
        <v>8.9</v>
      </c>
      <c r="AI73" s="76">
        <v>32588719</v>
      </c>
      <c r="AJ73" s="76">
        <v>25226089</v>
      </c>
      <c r="AK73" s="75">
        <v>0.80559432283147703</v>
      </c>
      <c r="AL73" s="77">
        <v>9.1999999999999993</v>
      </c>
      <c r="AM73" s="76">
        <v>24383548</v>
      </c>
      <c r="AN73" s="76">
        <v>18847284</v>
      </c>
      <c r="AO73" s="75">
        <v>0.81987831513477705</v>
      </c>
      <c r="AP73" s="77">
        <v>8.9</v>
      </c>
      <c r="AQ73" s="76">
        <v>26695358</v>
      </c>
      <c r="AR73" s="76">
        <v>20140827</v>
      </c>
      <c r="AS73" s="75">
        <v>0.80788627482047404</v>
      </c>
      <c r="AT73" s="77">
        <v>9.1999999999999993</v>
      </c>
      <c r="AU73" s="76">
        <v>26799062</v>
      </c>
      <c r="AV73" s="76">
        <v>20068824</v>
      </c>
      <c r="AW73" s="75">
        <v>0.81631266436271599</v>
      </c>
      <c r="AX73" s="77">
        <v>9.3000000000000007</v>
      </c>
      <c r="AY73" s="76">
        <v>29138690</v>
      </c>
      <c r="AZ73" s="76">
        <v>21755034</v>
      </c>
      <c r="BA73" s="75">
        <v>0.80735158995317002</v>
      </c>
      <c r="BB73" s="77">
        <v>8.9</v>
      </c>
      <c r="BC73" s="76">
        <v>26160428</v>
      </c>
      <c r="BD73" s="76">
        <v>19876302</v>
      </c>
      <c r="BE73" s="75">
        <v>0.81786320067357099</v>
      </c>
      <c r="BF73" s="77">
        <v>9.1999999999999993</v>
      </c>
      <c r="BG73" s="76">
        <v>29569884</v>
      </c>
      <c r="BH73" s="76">
        <v>22865397</v>
      </c>
      <c r="BI73" s="75">
        <v>0.81249301539971797</v>
      </c>
    </row>
    <row r="74" spans="1:61" ht="16" customHeight="1" x14ac:dyDescent="0.15">
      <c r="A74" s="58">
        <v>70</v>
      </c>
      <c r="B74" s="77">
        <v>9.5</v>
      </c>
      <c r="C74" s="76">
        <v>26338630</v>
      </c>
      <c r="D74" s="76">
        <v>20361497</v>
      </c>
      <c r="E74" s="75">
        <v>0.83538815779108799</v>
      </c>
      <c r="F74" s="77">
        <v>9.3000000000000007</v>
      </c>
      <c r="G74" s="76">
        <v>34146421</v>
      </c>
      <c r="H74" s="76">
        <v>26748530</v>
      </c>
      <c r="I74" s="75">
        <v>0.82733541476588202</v>
      </c>
      <c r="J74" s="77">
        <v>9.1</v>
      </c>
      <c r="K74" s="76">
        <v>35998241</v>
      </c>
      <c r="L74" s="76">
        <v>25585853</v>
      </c>
      <c r="M74" s="75">
        <v>0.83632612173057197</v>
      </c>
      <c r="N74" s="77">
        <v>9.8000000000000007</v>
      </c>
      <c r="O74" s="76">
        <v>27647665</v>
      </c>
      <c r="P74" s="76">
        <v>21382262</v>
      </c>
      <c r="Q74" s="75">
        <v>0.80768738839284904</v>
      </c>
      <c r="R74" s="77">
        <v>8.6999999999999993</v>
      </c>
      <c r="S74" s="76">
        <v>23639220</v>
      </c>
      <c r="T74" s="76">
        <v>18103109</v>
      </c>
      <c r="U74" s="75">
        <v>0.81055722148943798</v>
      </c>
      <c r="V74" s="77">
        <v>9.1</v>
      </c>
      <c r="W74" s="76">
        <v>24781913</v>
      </c>
      <c r="X74" s="76">
        <v>17244341</v>
      </c>
      <c r="Y74" s="75">
        <v>0.77212317046381895</v>
      </c>
      <c r="Z74" s="77">
        <v>8.8000000000000007</v>
      </c>
      <c r="AA74" s="76">
        <v>41971537</v>
      </c>
      <c r="AB74" s="76">
        <v>30411032</v>
      </c>
      <c r="AC74" s="75">
        <v>0.82581255256026198</v>
      </c>
      <c r="AD74" s="77">
        <v>8.9</v>
      </c>
      <c r="AE74" s="76">
        <v>25150126</v>
      </c>
      <c r="AF74" s="76">
        <v>19347979</v>
      </c>
      <c r="AG74" s="75">
        <v>0.82286956380465603</v>
      </c>
      <c r="AH74" s="80">
        <v>8.4</v>
      </c>
      <c r="AI74" s="76">
        <v>22743755</v>
      </c>
      <c r="AJ74" s="76">
        <v>16763216</v>
      </c>
      <c r="AK74" s="75">
        <v>0.78150151065190598</v>
      </c>
      <c r="AL74" s="77">
        <v>8.6</v>
      </c>
      <c r="AM74" s="76">
        <v>21796386</v>
      </c>
      <c r="AN74" s="76">
        <v>16974168</v>
      </c>
      <c r="AO74" s="75">
        <v>0.82347350727983804</v>
      </c>
      <c r="AP74" s="77">
        <v>8.6999999999999993</v>
      </c>
      <c r="AQ74" s="76">
        <v>28524880</v>
      </c>
      <c r="AR74" s="76">
        <v>20627952</v>
      </c>
      <c r="AS74" s="75">
        <v>0.77774585967566501</v>
      </c>
      <c r="AT74" s="77">
        <v>8.8000000000000007</v>
      </c>
      <c r="AU74" s="76">
        <v>25771166</v>
      </c>
      <c r="AV74" s="76">
        <v>19297647</v>
      </c>
      <c r="AW74" s="75">
        <v>0.81681332934386397</v>
      </c>
      <c r="AX74" s="77">
        <v>8.9</v>
      </c>
      <c r="AY74" s="76">
        <v>33395612</v>
      </c>
      <c r="AZ74" s="76">
        <v>24289691</v>
      </c>
      <c r="BA74" s="75">
        <v>0.785878181508462</v>
      </c>
      <c r="BB74" s="77">
        <v>8.8000000000000007</v>
      </c>
      <c r="BC74" s="76">
        <v>23514595</v>
      </c>
      <c r="BD74" s="76">
        <v>18077279</v>
      </c>
      <c r="BE74" s="75">
        <v>0.81459886255328795</v>
      </c>
      <c r="BF74" s="77">
        <v>7.7</v>
      </c>
      <c r="BG74" s="76">
        <v>21688431</v>
      </c>
      <c r="BH74" s="76">
        <v>16750559</v>
      </c>
      <c r="BI74" s="75">
        <v>0.81248804348543102</v>
      </c>
    </row>
    <row r="75" spans="1:61" ht="16" customHeight="1" x14ac:dyDescent="0.15">
      <c r="A75" s="58">
        <v>71</v>
      </c>
      <c r="B75" s="77">
        <v>9.5</v>
      </c>
      <c r="C75" s="76">
        <v>29579923</v>
      </c>
      <c r="D75" s="76">
        <v>22898472</v>
      </c>
      <c r="E75" s="75">
        <v>0.83856345593228898</v>
      </c>
      <c r="F75" s="77">
        <v>9.4</v>
      </c>
      <c r="G75" s="76">
        <v>36138102</v>
      </c>
      <c r="H75" s="76">
        <v>28711276</v>
      </c>
      <c r="I75" s="75">
        <v>0.835979153336046</v>
      </c>
      <c r="J75" s="77">
        <v>9.1</v>
      </c>
      <c r="K75" s="76">
        <v>27501840</v>
      </c>
      <c r="L75" s="76">
        <v>22100041</v>
      </c>
      <c r="M75" s="75">
        <v>0.84546523321426603</v>
      </c>
      <c r="N75" s="77">
        <v>9.4</v>
      </c>
      <c r="O75" s="76">
        <v>40278258</v>
      </c>
      <c r="P75" s="76">
        <v>24507513</v>
      </c>
      <c r="Q75" s="75">
        <v>0.83598097740493804</v>
      </c>
      <c r="R75" s="77">
        <v>8.6999999999999993</v>
      </c>
      <c r="S75" s="76">
        <v>23657261</v>
      </c>
      <c r="T75" s="76">
        <v>18092610</v>
      </c>
      <c r="U75" s="75">
        <v>0.80497349354192105</v>
      </c>
      <c r="V75" s="77">
        <v>8.6999999999999993</v>
      </c>
      <c r="W75" s="76">
        <v>35592390</v>
      </c>
      <c r="X75" s="76">
        <v>25955544</v>
      </c>
      <c r="Y75" s="75">
        <v>0.80498286822705101</v>
      </c>
      <c r="Z75" s="77">
        <v>9.1</v>
      </c>
      <c r="AA75" s="76">
        <v>27013775</v>
      </c>
      <c r="AB75" s="76">
        <v>19595396</v>
      </c>
      <c r="AC75" s="75">
        <v>0.82720572513575197</v>
      </c>
      <c r="AD75" s="77">
        <v>9.1</v>
      </c>
      <c r="AE75" s="76">
        <v>25103030</v>
      </c>
      <c r="AF75" s="76">
        <v>19590497</v>
      </c>
      <c r="AG75" s="75">
        <v>0.83114875590073101</v>
      </c>
      <c r="AH75" s="80">
        <v>8.1</v>
      </c>
      <c r="AI75" s="76">
        <v>37787754</v>
      </c>
      <c r="AJ75" s="76">
        <v>24216799</v>
      </c>
      <c r="AK75" s="75">
        <v>0.69937911069498404</v>
      </c>
      <c r="AL75" s="77">
        <v>8.3000000000000007</v>
      </c>
      <c r="AM75" s="76">
        <v>23370359</v>
      </c>
      <c r="AN75" s="76">
        <v>17926616</v>
      </c>
      <c r="AO75" s="75">
        <v>0.81542283402053095</v>
      </c>
      <c r="AP75" s="77">
        <v>8.9</v>
      </c>
      <c r="AQ75" s="76">
        <v>25792259</v>
      </c>
      <c r="AR75" s="76">
        <v>19953451</v>
      </c>
      <c r="AS75" s="75">
        <v>0.82059257099417005</v>
      </c>
      <c r="AT75" s="77">
        <v>9</v>
      </c>
      <c r="AU75" s="76">
        <v>38843041</v>
      </c>
      <c r="AV75" s="76">
        <v>29669370</v>
      </c>
      <c r="AW75" s="75">
        <v>0.82491415997863604</v>
      </c>
      <c r="AX75" s="77">
        <v>9</v>
      </c>
      <c r="AY75" s="76">
        <v>26917912</v>
      </c>
      <c r="AZ75" s="76">
        <v>20164244</v>
      </c>
      <c r="BA75" s="75">
        <v>0.80938746439203901</v>
      </c>
      <c r="BB75" s="77">
        <v>9</v>
      </c>
      <c r="BC75" s="76">
        <v>25449466</v>
      </c>
      <c r="BD75" s="76">
        <v>19352121</v>
      </c>
      <c r="BE75" s="75">
        <v>0.81849514230907405</v>
      </c>
      <c r="BF75" s="77">
        <v>8.8000000000000007</v>
      </c>
      <c r="BG75" s="76">
        <v>30052197</v>
      </c>
      <c r="BH75" s="76">
        <v>22379637</v>
      </c>
      <c r="BI75" s="75">
        <v>0.80365640868925403</v>
      </c>
    </row>
    <row r="76" spans="1:61" ht="16" customHeight="1" x14ac:dyDescent="0.15">
      <c r="A76" s="58">
        <v>72</v>
      </c>
      <c r="B76" s="77">
        <v>9.1999999999999993</v>
      </c>
      <c r="C76" s="76">
        <v>31743561</v>
      </c>
      <c r="D76" s="76">
        <v>24501126</v>
      </c>
      <c r="E76" s="75">
        <v>0.83495301662669497</v>
      </c>
      <c r="F76" s="77">
        <v>9.8000000000000007</v>
      </c>
      <c r="G76" s="76">
        <v>22868232</v>
      </c>
      <c r="H76" s="76">
        <v>17779403</v>
      </c>
      <c r="I76" s="75">
        <v>0.82330826928400402</v>
      </c>
      <c r="J76" s="77">
        <v>9.1</v>
      </c>
      <c r="K76" s="76">
        <v>27498643</v>
      </c>
      <c r="L76" s="76">
        <v>21958116</v>
      </c>
      <c r="M76" s="75">
        <v>0.83996437419216796</v>
      </c>
      <c r="N76" s="77">
        <v>9.3000000000000007</v>
      </c>
      <c r="O76" s="76">
        <v>44972115</v>
      </c>
      <c r="P76" s="76">
        <v>26774152</v>
      </c>
      <c r="Q76" s="75">
        <v>0.82743365525719803</v>
      </c>
      <c r="R76" s="77">
        <v>8.8000000000000007</v>
      </c>
      <c r="S76" s="76">
        <v>38353471</v>
      </c>
      <c r="T76" s="76">
        <v>18565775</v>
      </c>
      <c r="U76" s="75">
        <v>0.79899986521071298</v>
      </c>
      <c r="V76" s="77">
        <v>9.1</v>
      </c>
      <c r="W76" s="76">
        <v>27769310</v>
      </c>
      <c r="X76" s="76">
        <v>20212595</v>
      </c>
      <c r="Y76" s="75">
        <v>0.80767622263523897</v>
      </c>
      <c r="Z76" s="77">
        <v>9</v>
      </c>
      <c r="AA76" s="76">
        <v>27430620</v>
      </c>
      <c r="AB76" s="76">
        <v>19771715</v>
      </c>
      <c r="AC76" s="75">
        <v>0.82603568139546701</v>
      </c>
      <c r="AD76" s="77">
        <v>8.9</v>
      </c>
      <c r="AE76" s="76">
        <v>23659542</v>
      </c>
      <c r="AF76" s="76">
        <v>18357823</v>
      </c>
      <c r="AG76" s="75">
        <v>0.82654339264080201</v>
      </c>
      <c r="AH76" s="77">
        <v>8.6</v>
      </c>
      <c r="AI76" s="76">
        <v>30690822</v>
      </c>
      <c r="AJ76" s="76">
        <v>21522675</v>
      </c>
      <c r="AK76" s="75">
        <v>0.75326353212189201</v>
      </c>
      <c r="AL76" s="77">
        <v>7</v>
      </c>
      <c r="AM76" s="76">
        <v>22780207</v>
      </c>
      <c r="AN76" s="76">
        <v>17133713</v>
      </c>
      <c r="AO76" s="75">
        <v>0.80118620002626095</v>
      </c>
      <c r="AP76" s="80" t="s">
        <v>22</v>
      </c>
      <c r="AQ76" s="79" t="s">
        <v>22</v>
      </c>
      <c r="AR76" s="79" t="s">
        <v>22</v>
      </c>
      <c r="AS76" s="78" t="s">
        <v>22</v>
      </c>
      <c r="AT76" s="77">
        <v>9</v>
      </c>
      <c r="AU76" s="76">
        <v>32187143</v>
      </c>
      <c r="AV76" s="76">
        <v>24120010</v>
      </c>
      <c r="AW76" s="75">
        <v>0.80987883888538303</v>
      </c>
      <c r="AX76" s="77">
        <v>9</v>
      </c>
      <c r="AY76" s="76">
        <v>29964743</v>
      </c>
      <c r="AZ76" s="76">
        <v>22207726</v>
      </c>
      <c r="BA76" s="75">
        <v>0.80005733911076404</v>
      </c>
      <c r="BB76" s="77">
        <v>9.3000000000000007</v>
      </c>
      <c r="BC76" s="76">
        <v>24358375</v>
      </c>
      <c r="BD76" s="76">
        <v>18495390</v>
      </c>
      <c r="BE76" s="75">
        <v>0.81463432058882201</v>
      </c>
      <c r="BF76" s="77">
        <v>8.6</v>
      </c>
      <c r="BG76" s="76">
        <v>29416139</v>
      </c>
      <c r="BH76" s="76">
        <v>21556661</v>
      </c>
      <c r="BI76" s="75">
        <v>0.79251043253801901</v>
      </c>
    </row>
    <row r="77" spans="1:61" ht="16" customHeight="1" x14ac:dyDescent="0.15">
      <c r="A77" s="58">
        <v>73</v>
      </c>
      <c r="B77" s="77">
        <v>9</v>
      </c>
      <c r="C77" s="76">
        <v>30806521</v>
      </c>
      <c r="D77" s="76">
        <v>24467058</v>
      </c>
      <c r="E77" s="75">
        <v>0.83114551364395794</v>
      </c>
      <c r="F77" s="77">
        <v>9.6999999999999993</v>
      </c>
      <c r="G77" s="76">
        <v>27047597</v>
      </c>
      <c r="H77" s="76">
        <v>21561616</v>
      </c>
      <c r="I77" s="75">
        <v>0.84168981628139405</v>
      </c>
      <c r="J77" s="77">
        <v>9.1</v>
      </c>
      <c r="K77" s="76">
        <v>25884263</v>
      </c>
      <c r="L77" s="76">
        <v>20085045</v>
      </c>
      <c r="M77" s="75">
        <v>0.83846016728255202</v>
      </c>
      <c r="N77" s="77">
        <v>9.3000000000000007</v>
      </c>
      <c r="O77" s="76">
        <v>35718794</v>
      </c>
      <c r="P77" s="76">
        <v>18653216</v>
      </c>
      <c r="Q77" s="75">
        <v>0.81347968151633998</v>
      </c>
      <c r="R77" s="77">
        <v>8.6</v>
      </c>
      <c r="S77" s="76">
        <v>23226964</v>
      </c>
      <c r="T77" s="76">
        <v>17791514</v>
      </c>
      <c r="U77" s="75">
        <v>0.80671838112154903</v>
      </c>
      <c r="V77" s="77">
        <v>8.8000000000000007</v>
      </c>
      <c r="W77" s="76">
        <v>25775047</v>
      </c>
      <c r="X77" s="76">
        <v>19000438</v>
      </c>
      <c r="Y77" s="75">
        <v>0.81198959617440303</v>
      </c>
      <c r="Z77" s="77">
        <v>9</v>
      </c>
      <c r="AA77" s="76">
        <v>32881626</v>
      </c>
      <c r="AB77" s="76">
        <v>25152233</v>
      </c>
      <c r="AC77" s="75">
        <v>0.827476226481488</v>
      </c>
      <c r="AD77" s="77">
        <v>8.6999999999999993</v>
      </c>
      <c r="AE77" s="76">
        <v>21392409</v>
      </c>
      <c r="AF77" s="76">
        <v>17070056</v>
      </c>
      <c r="AG77" s="75">
        <v>0.83210971684037804</v>
      </c>
      <c r="AH77" s="77">
        <v>8.1</v>
      </c>
      <c r="AI77" s="76">
        <v>33044827</v>
      </c>
      <c r="AJ77" s="76">
        <v>24981225</v>
      </c>
      <c r="AK77" s="75">
        <v>0.796584694213051</v>
      </c>
      <c r="AL77" s="77">
        <v>8.9</v>
      </c>
      <c r="AM77" s="76">
        <v>22329007</v>
      </c>
      <c r="AN77" s="76">
        <v>17667946</v>
      </c>
      <c r="AO77" s="75">
        <v>0.83233425907326297</v>
      </c>
      <c r="AP77" s="77">
        <v>9.1999999999999993</v>
      </c>
      <c r="AQ77" s="76">
        <v>33377934</v>
      </c>
      <c r="AR77" s="76">
        <v>25648503</v>
      </c>
      <c r="AS77" s="75">
        <v>0.81925842404128801</v>
      </c>
      <c r="AT77" s="77">
        <v>9.1999999999999993</v>
      </c>
      <c r="AU77" s="76">
        <v>25019763</v>
      </c>
      <c r="AV77" s="76">
        <v>18493015</v>
      </c>
      <c r="AW77" s="75">
        <v>0.80940049658187996</v>
      </c>
      <c r="AX77" s="77">
        <v>8.9</v>
      </c>
      <c r="AY77" s="76">
        <v>28067234</v>
      </c>
      <c r="AZ77" s="76">
        <v>20889744</v>
      </c>
      <c r="BA77" s="75">
        <v>0.80472867290718497</v>
      </c>
      <c r="BB77" s="77">
        <v>8.8000000000000007</v>
      </c>
      <c r="BC77" s="76">
        <v>24735233</v>
      </c>
      <c r="BD77" s="76">
        <v>18863174</v>
      </c>
      <c r="BE77" s="75">
        <v>0.82026275126538795</v>
      </c>
      <c r="BF77" s="77">
        <v>9</v>
      </c>
      <c r="BG77" s="76">
        <v>24335745</v>
      </c>
      <c r="BH77" s="76">
        <v>18562491</v>
      </c>
      <c r="BI77" s="75">
        <v>0.80252331177331304</v>
      </c>
    </row>
    <row r="78" spans="1:61" ht="16" customHeight="1" x14ac:dyDescent="0.15">
      <c r="A78" s="58">
        <v>74</v>
      </c>
      <c r="B78" s="77">
        <v>9.3000000000000007</v>
      </c>
      <c r="C78" s="76">
        <v>25325270</v>
      </c>
      <c r="D78" s="76">
        <v>19772349</v>
      </c>
      <c r="E78" s="75">
        <v>0.84223330157762599</v>
      </c>
      <c r="F78" s="77">
        <v>9.6</v>
      </c>
      <c r="G78" s="76">
        <v>28135967</v>
      </c>
      <c r="H78" s="76">
        <v>22347488</v>
      </c>
      <c r="I78" s="75">
        <v>0.83700626248440602</v>
      </c>
      <c r="J78" s="77">
        <v>8.9</v>
      </c>
      <c r="K78" s="76">
        <v>25058801</v>
      </c>
      <c r="L78" s="76">
        <v>19656619</v>
      </c>
      <c r="M78" s="75">
        <v>0.83600619210320604</v>
      </c>
      <c r="N78" s="77">
        <v>10</v>
      </c>
      <c r="O78" s="76">
        <v>38954077</v>
      </c>
      <c r="P78" s="76">
        <v>18404372</v>
      </c>
      <c r="Q78" s="75">
        <v>0.79896929660909899</v>
      </c>
      <c r="R78" s="77">
        <v>8.8000000000000007</v>
      </c>
      <c r="S78" s="76">
        <v>31355120</v>
      </c>
      <c r="T78" s="76">
        <v>23965707</v>
      </c>
      <c r="U78" s="75">
        <v>0.80591402043897697</v>
      </c>
      <c r="V78" s="77">
        <v>9</v>
      </c>
      <c r="W78" s="76">
        <v>23249956</v>
      </c>
      <c r="X78" s="76">
        <v>16875865</v>
      </c>
      <c r="Y78" s="75">
        <v>0.80082167922678205</v>
      </c>
      <c r="Z78" s="77">
        <v>9.1999999999999993</v>
      </c>
      <c r="AA78" s="76">
        <v>32925789</v>
      </c>
      <c r="AB78" s="76">
        <v>25498905</v>
      </c>
      <c r="AC78" s="75">
        <v>0.83387218505772298</v>
      </c>
      <c r="AD78" s="77">
        <v>9.1</v>
      </c>
      <c r="AE78" s="76">
        <v>23952675</v>
      </c>
      <c r="AF78" s="76">
        <v>19117785</v>
      </c>
      <c r="AG78" s="75">
        <v>0.84116824350453301</v>
      </c>
      <c r="AH78" s="77">
        <v>6.9</v>
      </c>
      <c r="AI78" s="76">
        <v>26712894</v>
      </c>
      <c r="AJ78" s="76">
        <v>20602412</v>
      </c>
      <c r="AK78" s="75">
        <v>0.80670454314524098</v>
      </c>
      <c r="AL78" s="77">
        <v>8.6</v>
      </c>
      <c r="AM78" s="76">
        <v>21691686</v>
      </c>
      <c r="AN78" s="76">
        <v>17055495</v>
      </c>
      <c r="AO78" s="75">
        <v>0.82730986286263597</v>
      </c>
      <c r="AP78" s="77">
        <v>8.9</v>
      </c>
      <c r="AQ78" s="76">
        <v>22165071</v>
      </c>
      <c r="AR78" s="76">
        <v>16580517</v>
      </c>
      <c r="AS78" s="75">
        <v>0.80152465732988798</v>
      </c>
      <c r="AT78" s="77">
        <v>9.1</v>
      </c>
      <c r="AU78" s="76">
        <v>27183530</v>
      </c>
      <c r="AV78" s="76">
        <v>20342531</v>
      </c>
      <c r="AW78" s="75">
        <v>0.81324445685347502</v>
      </c>
      <c r="AX78" s="77">
        <v>8.8000000000000007</v>
      </c>
      <c r="AY78" s="76">
        <v>26037415</v>
      </c>
      <c r="AZ78" s="76">
        <v>19622602</v>
      </c>
      <c r="BA78" s="75">
        <v>0.811872738735684</v>
      </c>
      <c r="BB78" s="77">
        <v>9</v>
      </c>
      <c r="BC78" s="76">
        <v>58025128</v>
      </c>
      <c r="BD78" s="76">
        <v>45049195</v>
      </c>
      <c r="BE78" s="75">
        <v>0.82095935945291798</v>
      </c>
      <c r="BF78" s="77">
        <v>8.9</v>
      </c>
      <c r="BG78" s="76">
        <v>33842044</v>
      </c>
      <c r="BH78" s="76">
        <v>25048746</v>
      </c>
      <c r="BI78" s="75">
        <v>0.78955634168413702</v>
      </c>
    </row>
    <row r="79" spans="1:61" ht="16" customHeight="1" x14ac:dyDescent="0.15">
      <c r="A79" s="58">
        <v>75</v>
      </c>
      <c r="B79" s="77">
        <v>9.4</v>
      </c>
      <c r="C79" s="76">
        <v>46580189</v>
      </c>
      <c r="D79" s="76">
        <v>26044623</v>
      </c>
      <c r="E79" s="75">
        <v>0.84905555749706896</v>
      </c>
      <c r="F79" s="77">
        <v>9.1999999999999993</v>
      </c>
      <c r="G79" s="76">
        <v>35965310</v>
      </c>
      <c r="H79" s="76">
        <v>26727579</v>
      </c>
      <c r="I79" s="75">
        <v>0.84732107209234597</v>
      </c>
      <c r="J79" s="77">
        <v>8.9</v>
      </c>
      <c r="K79" s="76">
        <v>36924148</v>
      </c>
      <c r="L79" s="76">
        <v>21329540</v>
      </c>
      <c r="M79" s="75">
        <v>0.83439868483725999</v>
      </c>
      <c r="N79" s="77">
        <v>9</v>
      </c>
      <c r="O79" s="76">
        <v>53592869</v>
      </c>
      <c r="P79" s="76">
        <v>17865143</v>
      </c>
      <c r="Q79" s="75">
        <v>0.81337505696197698</v>
      </c>
      <c r="R79" s="77">
        <v>8.9</v>
      </c>
      <c r="S79" s="76">
        <v>43115848</v>
      </c>
      <c r="T79" s="76">
        <v>24042936</v>
      </c>
      <c r="U79" s="75">
        <v>0.80545431003624601</v>
      </c>
      <c r="V79" s="77">
        <v>9.1</v>
      </c>
      <c r="W79" s="76">
        <v>36815920</v>
      </c>
      <c r="X79" s="76">
        <v>20142657</v>
      </c>
      <c r="Y79" s="75">
        <v>0.81068965415928995</v>
      </c>
      <c r="Z79" s="77">
        <v>9.1999999999999993</v>
      </c>
      <c r="AA79" s="76">
        <v>37776689</v>
      </c>
      <c r="AB79" s="76">
        <v>18408700</v>
      </c>
      <c r="AC79" s="75">
        <v>0.82352544871102895</v>
      </c>
      <c r="AD79" s="77">
        <v>9.1999999999999993</v>
      </c>
      <c r="AE79" s="76">
        <v>21908682</v>
      </c>
      <c r="AF79" s="76">
        <v>17487402</v>
      </c>
      <c r="AG79" s="75">
        <v>0.83304514613134795</v>
      </c>
      <c r="AH79" s="77">
        <v>8.5</v>
      </c>
      <c r="AI79" s="76">
        <v>35964599</v>
      </c>
      <c r="AJ79" s="76">
        <v>24001955</v>
      </c>
      <c r="AK79" s="75">
        <v>0.79042886395281597</v>
      </c>
      <c r="AL79" s="77">
        <v>9.6</v>
      </c>
      <c r="AM79" s="76">
        <v>36134273</v>
      </c>
      <c r="AN79" s="76">
        <v>23855577</v>
      </c>
      <c r="AO79" s="75">
        <v>0.83249049272090103</v>
      </c>
      <c r="AP79" s="77">
        <v>9.3000000000000007</v>
      </c>
      <c r="AQ79" s="76">
        <v>28609151</v>
      </c>
      <c r="AR79" s="76">
        <v>21258573</v>
      </c>
      <c r="AS79" s="75">
        <v>0.790781421489681</v>
      </c>
      <c r="AT79" s="77">
        <v>9</v>
      </c>
      <c r="AU79" s="76">
        <v>31421127</v>
      </c>
      <c r="AV79" s="76">
        <v>17515912</v>
      </c>
      <c r="AW79" s="75">
        <v>0.82217661227174699</v>
      </c>
      <c r="AX79" s="77">
        <v>9.1999999999999993</v>
      </c>
      <c r="AY79" s="76">
        <v>41241380</v>
      </c>
      <c r="AZ79" s="76">
        <v>21607321</v>
      </c>
      <c r="BA79" s="75">
        <v>0.81743142551347703</v>
      </c>
      <c r="BB79" s="77">
        <v>8.3000000000000007</v>
      </c>
      <c r="BC79" s="76">
        <v>31285178</v>
      </c>
      <c r="BD79" s="76">
        <v>17382085</v>
      </c>
      <c r="BE79" s="75">
        <v>0.82206343724031306</v>
      </c>
      <c r="BF79" s="77">
        <v>9</v>
      </c>
      <c r="BG79" s="76">
        <v>23323877</v>
      </c>
      <c r="BH79" s="76">
        <v>17072879</v>
      </c>
      <c r="BI79" s="75">
        <v>0.78913981902117303</v>
      </c>
    </row>
    <row r="80" spans="1:61" ht="16" customHeight="1" x14ac:dyDescent="0.15">
      <c r="A80" s="58">
        <v>76</v>
      </c>
      <c r="B80" s="77">
        <v>9.4</v>
      </c>
      <c r="C80" s="76">
        <v>26790632</v>
      </c>
      <c r="D80" s="76">
        <v>20936468</v>
      </c>
      <c r="E80" s="75">
        <v>0.84215291402891401</v>
      </c>
      <c r="F80" s="77">
        <v>9.3000000000000007</v>
      </c>
      <c r="G80" s="76">
        <v>28815328</v>
      </c>
      <c r="H80" s="76">
        <v>22997119</v>
      </c>
      <c r="I80" s="75">
        <v>0.84134435573978705</v>
      </c>
      <c r="J80" s="77">
        <v>9.1</v>
      </c>
      <c r="K80" s="76">
        <v>25291434</v>
      </c>
      <c r="L80" s="76">
        <v>20063632</v>
      </c>
      <c r="M80" s="75">
        <v>0.84652360335388799</v>
      </c>
      <c r="N80" s="77">
        <v>9</v>
      </c>
      <c r="O80" s="76">
        <v>45367251</v>
      </c>
      <c r="P80" s="76">
        <v>21980618</v>
      </c>
      <c r="Q80" s="75">
        <v>0.81567223752420204</v>
      </c>
      <c r="R80" s="77">
        <v>8.8000000000000007</v>
      </c>
      <c r="S80" s="76">
        <v>23671605</v>
      </c>
      <c r="T80" s="76">
        <v>18445139</v>
      </c>
      <c r="U80" s="75">
        <v>0.81506404645030195</v>
      </c>
      <c r="V80" s="77" t="s">
        <v>22</v>
      </c>
      <c r="W80" s="76">
        <v>22897109</v>
      </c>
      <c r="X80" s="76">
        <v>16692385</v>
      </c>
      <c r="Y80" s="75">
        <v>0.80495566769850901</v>
      </c>
      <c r="Z80" s="77">
        <v>8.6999999999999993</v>
      </c>
      <c r="AA80" s="76">
        <v>20731726</v>
      </c>
      <c r="AB80" s="76">
        <v>16042276</v>
      </c>
      <c r="AC80" s="75">
        <v>0.82158461597239096</v>
      </c>
      <c r="AD80" s="77">
        <v>9.1999999999999993</v>
      </c>
      <c r="AE80" s="76">
        <v>25599375</v>
      </c>
      <c r="AF80" s="76">
        <v>20582233</v>
      </c>
      <c r="AG80" s="75">
        <v>0.83856843948018001</v>
      </c>
      <c r="AH80" s="77">
        <v>9.9</v>
      </c>
      <c r="AI80" s="76">
        <v>23070032</v>
      </c>
      <c r="AJ80" s="76">
        <v>16872979</v>
      </c>
      <c r="AK80" s="75">
        <v>0.76710530341705296</v>
      </c>
      <c r="AL80" s="77">
        <v>8.8000000000000007</v>
      </c>
      <c r="AM80" s="76">
        <v>22134457</v>
      </c>
      <c r="AN80" s="76">
        <v>17535668</v>
      </c>
      <c r="AO80" s="75">
        <v>0.82996408832261104</v>
      </c>
      <c r="AP80" s="80" t="s">
        <v>22</v>
      </c>
      <c r="AQ80" s="79" t="s">
        <v>22</v>
      </c>
      <c r="AR80" s="79" t="s">
        <v>22</v>
      </c>
      <c r="AS80" s="78" t="s">
        <v>22</v>
      </c>
      <c r="AT80" s="77">
        <v>9</v>
      </c>
      <c r="AU80" s="76">
        <v>24888732</v>
      </c>
      <c r="AV80" s="76">
        <v>18731056</v>
      </c>
      <c r="AW80" s="75">
        <v>0.81784083156057197</v>
      </c>
      <c r="AX80" s="77">
        <v>9.1999999999999993</v>
      </c>
      <c r="AY80" s="76">
        <v>25732711</v>
      </c>
      <c r="AZ80" s="76">
        <v>19033521</v>
      </c>
      <c r="BA80" s="75">
        <v>0.79698961148940095</v>
      </c>
      <c r="BB80" s="77">
        <v>9</v>
      </c>
      <c r="BC80" s="76">
        <v>21440358</v>
      </c>
      <c r="BD80" s="76">
        <v>16563716</v>
      </c>
      <c r="BE80" s="75">
        <v>0.81684879639724295</v>
      </c>
      <c r="BF80" s="77">
        <v>9.1</v>
      </c>
      <c r="BG80" s="76">
        <v>35210670</v>
      </c>
      <c r="BH80" s="76">
        <v>23840196</v>
      </c>
      <c r="BI80" s="75">
        <v>0.81568081467778197</v>
      </c>
    </row>
    <row r="81" spans="1:61" ht="16" customHeight="1" x14ac:dyDescent="0.15">
      <c r="A81" s="58">
        <v>77</v>
      </c>
      <c r="B81" s="77">
        <v>9.6999999999999993</v>
      </c>
      <c r="C81" s="76">
        <v>25456649</v>
      </c>
      <c r="D81" s="76">
        <v>19923992</v>
      </c>
      <c r="E81" s="75">
        <v>0.84663220079587898</v>
      </c>
      <c r="F81" s="77">
        <v>9.5</v>
      </c>
      <c r="G81" s="76">
        <v>25175390</v>
      </c>
      <c r="H81" s="76">
        <v>20191316</v>
      </c>
      <c r="I81" s="75">
        <v>0.84578740083433002</v>
      </c>
      <c r="J81" s="77">
        <v>9</v>
      </c>
      <c r="K81" s="76">
        <v>26226290</v>
      </c>
      <c r="L81" s="76">
        <v>20420681</v>
      </c>
      <c r="M81" s="75">
        <v>0.83401706565823397</v>
      </c>
      <c r="N81" s="77">
        <v>9.6</v>
      </c>
      <c r="O81" s="76">
        <v>35282298</v>
      </c>
      <c r="P81" s="76">
        <v>19187155</v>
      </c>
      <c r="Q81" s="75">
        <v>0.80983099963452998</v>
      </c>
      <c r="R81" s="77">
        <v>8.9</v>
      </c>
      <c r="S81" s="76">
        <v>27664946</v>
      </c>
      <c r="T81" s="76">
        <v>21660872</v>
      </c>
      <c r="U81" s="75">
        <v>0.81491782847663496</v>
      </c>
      <c r="V81" s="77">
        <v>8.9</v>
      </c>
      <c r="W81" s="76">
        <v>27326574</v>
      </c>
      <c r="X81" s="76">
        <v>19700136</v>
      </c>
      <c r="Y81" s="75">
        <v>0.80035524151873105</v>
      </c>
      <c r="Z81" s="77">
        <v>9.5</v>
      </c>
      <c r="AA81" s="76">
        <v>31339578</v>
      </c>
      <c r="AB81" s="76">
        <v>24925994</v>
      </c>
      <c r="AC81" s="75">
        <v>0.83402391440180901</v>
      </c>
      <c r="AD81" s="77">
        <v>9</v>
      </c>
      <c r="AE81" s="76">
        <v>30115117</v>
      </c>
      <c r="AF81" s="76">
        <v>23000359</v>
      </c>
      <c r="AG81" s="75">
        <v>0.83111278519506304</v>
      </c>
      <c r="AH81" s="77">
        <v>8.1</v>
      </c>
      <c r="AI81" s="76">
        <v>22515311</v>
      </c>
      <c r="AJ81" s="76">
        <v>17052698</v>
      </c>
      <c r="AK81" s="75">
        <v>0.792095919762834</v>
      </c>
      <c r="AL81" s="77">
        <v>8.9</v>
      </c>
      <c r="AM81" s="76">
        <v>22915598</v>
      </c>
      <c r="AN81" s="76">
        <v>18108293</v>
      </c>
      <c r="AO81" s="75">
        <v>0.83274319186662005</v>
      </c>
      <c r="AP81" s="77">
        <v>9.1</v>
      </c>
      <c r="AQ81" s="76">
        <v>34723321</v>
      </c>
      <c r="AR81" s="76">
        <v>27252030</v>
      </c>
      <c r="AS81" s="75">
        <v>0.82964384961872395</v>
      </c>
      <c r="AT81" s="77">
        <v>9.1999999999999993</v>
      </c>
      <c r="AU81" s="76">
        <v>25327605</v>
      </c>
      <c r="AV81" s="76">
        <v>19098620</v>
      </c>
      <c r="AW81" s="75">
        <v>0.82128819287545096</v>
      </c>
      <c r="AX81" s="77">
        <v>9.1999999999999993</v>
      </c>
      <c r="AY81" s="76">
        <v>26298795</v>
      </c>
      <c r="AZ81" s="76">
        <v>19853481</v>
      </c>
      <c r="BA81" s="75">
        <v>0.814261999071617</v>
      </c>
      <c r="BB81" s="77">
        <v>9</v>
      </c>
      <c r="BC81" s="76">
        <v>25734801</v>
      </c>
      <c r="BD81" s="76">
        <v>20003666</v>
      </c>
      <c r="BE81" s="75">
        <v>0.82281577409093198</v>
      </c>
      <c r="BF81" s="77">
        <v>9</v>
      </c>
      <c r="BG81" s="76">
        <v>25362598</v>
      </c>
      <c r="BH81" s="76">
        <v>19685142</v>
      </c>
      <c r="BI81" s="75">
        <v>0.81495709758963197</v>
      </c>
    </row>
    <row r="82" spans="1:61" ht="16" customHeight="1" x14ac:dyDescent="0.15">
      <c r="A82" s="58">
        <v>78</v>
      </c>
      <c r="B82" s="77">
        <v>9.4</v>
      </c>
      <c r="C82" s="76">
        <v>24103754</v>
      </c>
      <c r="D82" s="76">
        <v>18772537</v>
      </c>
      <c r="E82" s="75">
        <v>0.84430361426449096</v>
      </c>
      <c r="F82" s="77">
        <v>9.5</v>
      </c>
      <c r="G82" s="76">
        <v>23774301</v>
      </c>
      <c r="H82" s="76">
        <v>18673249</v>
      </c>
      <c r="I82" s="75">
        <v>0.82925181061407705</v>
      </c>
      <c r="J82" s="77">
        <v>9.3000000000000007</v>
      </c>
      <c r="K82" s="76">
        <v>31039129</v>
      </c>
      <c r="L82" s="76">
        <v>23994826</v>
      </c>
      <c r="M82" s="75">
        <v>0.82850673586557999</v>
      </c>
      <c r="N82" s="77">
        <v>9.1</v>
      </c>
      <c r="O82" s="76">
        <v>34798902</v>
      </c>
      <c r="P82" s="76">
        <v>19461745</v>
      </c>
      <c r="Q82" s="75">
        <v>0.80481792937177299</v>
      </c>
      <c r="R82" s="77">
        <v>9</v>
      </c>
      <c r="S82" s="76">
        <v>24128934</v>
      </c>
      <c r="T82" s="76">
        <v>18558624</v>
      </c>
      <c r="U82" s="75">
        <v>0.80180318860504796</v>
      </c>
      <c r="V82" s="77">
        <v>8.9</v>
      </c>
      <c r="W82" s="76">
        <v>35553020</v>
      </c>
      <c r="X82" s="76">
        <v>24400095</v>
      </c>
      <c r="Y82" s="75">
        <v>0.76904734536448605</v>
      </c>
      <c r="Z82" s="77">
        <v>9.3000000000000007</v>
      </c>
      <c r="AA82" s="76">
        <v>43538246</v>
      </c>
      <c r="AB82" s="76">
        <v>34172468</v>
      </c>
      <c r="AC82" s="75">
        <v>0.82503197522484994</v>
      </c>
      <c r="AD82" s="77" t="s">
        <v>22</v>
      </c>
      <c r="AE82" s="76" t="s">
        <v>22</v>
      </c>
      <c r="AF82" s="76" t="s">
        <v>22</v>
      </c>
      <c r="AG82" s="75" t="s">
        <v>22</v>
      </c>
      <c r="AH82" s="77">
        <v>7.3</v>
      </c>
      <c r="AI82" s="76">
        <v>37345764</v>
      </c>
      <c r="AJ82" s="76">
        <v>22357848</v>
      </c>
      <c r="AK82" s="75">
        <v>0.65698139006312295</v>
      </c>
      <c r="AL82" s="77">
        <v>8.9</v>
      </c>
      <c r="AM82" s="76">
        <v>22378345</v>
      </c>
      <c r="AN82" s="76">
        <v>17797645</v>
      </c>
      <c r="AO82" s="75">
        <v>0.83412538863435304</v>
      </c>
      <c r="AP82" s="77">
        <v>9</v>
      </c>
      <c r="AQ82" s="76">
        <v>22884791</v>
      </c>
      <c r="AR82" s="76">
        <v>17092452</v>
      </c>
      <c r="AS82" s="75">
        <v>0.81723726411576003</v>
      </c>
      <c r="AT82" s="77">
        <v>9.1</v>
      </c>
      <c r="AU82" s="76">
        <v>26377528</v>
      </c>
      <c r="AV82" s="76">
        <v>19493818</v>
      </c>
      <c r="AW82" s="75">
        <v>0.80443035882657998</v>
      </c>
      <c r="AX82" s="77">
        <v>9.3000000000000007</v>
      </c>
      <c r="AY82" s="76">
        <v>27577646</v>
      </c>
      <c r="AZ82" s="76">
        <v>20488312</v>
      </c>
      <c r="BA82" s="75">
        <v>0.80361101708510296</v>
      </c>
      <c r="BB82" s="77">
        <v>8.9</v>
      </c>
      <c r="BC82" s="76">
        <v>22650840</v>
      </c>
      <c r="BD82" s="76">
        <v>17282702</v>
      </c>
      <c r="BE82" s="75">
        <v>0.80911355757911596</v>
      </c>
      <c r="BF82" s="77">
        <v>9.4</v>
      </c>
      <c r="BG82" s="76">
        <v>22601259</v>
      </c>
      <c r="BH82" s="76">
        <v>17395955</v>
      </c>
      <c r="BI82" s="75">
        <v>0.80893509157972499</v>
      </c>
    </row>
    <row r="83" spans="1:61" ht="16" customHeight="1" x14ac:dyDescent="0.15">
      <c r="A83" s="58">
        <v>79</v>
      </c>
      <c r="B83" s="77">
        <v>9.3000000000000007</v>
      </c>
      <c r="C83" s="76">
        <v>28743023</v>
      </c>
      <c r="D83" s="76">
        <v>22289707</v>
      </c>
      <c r="E83" s="75">
        <v>0.83945443256032304</v>
      </c>
      <c r="F83" s="77">
        <v>9.5</v>
      </c>
      <c r="G83" s="76">
        <v>25754752</v>
      </c>
      <c r="H83" s="76">
        <v>20602895</v>
      </c>
      <c r="I83" s="75">
        <v>0.84459711102288304</v>
      </c>
      <c r="J83" s="77">
        <v>9.3000000000000007</v>
      </c>
      <c r="K83" s="76">
        <v>23977896</v>
      </c>
      <c r="L83" s="76">
        <v>18882634</v>
      </c>
      <c r="M83" s="75">
        <v>0.83175312007068902</v>
      </c>
      <c r="N83" s="77">
        <v>9.6999999999999993</v>
      </c>
      <c r="O83" s="76">
        <v>38319828</v>
      </c>
      <c r="P83" s="76">
        <v>19624691</v>
      </c>
      <c r="Q83" s="75">
        <v>0.807346022393437</v>
      </c>
      <c r="R83" s="77">
        <v>8.8000000000000007</v>
      </c>
      <c r="S83" s="76">
        <v>32277930</v>
      </c>
      <c r="T83" s="76">
        <v>25123747</v>
      </c>
      <c r="U83" s="75">
        <v>0.81125834753819304</v>
      </c>
      <c r="V83" s="77">
        <v>9</v>
      </c>
      <c r="W83" s="76">
        <v>24663423</v>
      </c>
      <c r="X83" s="76">
        <v>17838650</v>
      </c>
      <c r="Y83" s="75">
        <v>0.79910470206123196</v>
      </c>
      <c r="Z83" s="77">
        <v>8.9</v>
      </c>
      <c r="AA83" s="76">
        <v>29132774</v>
      </c>
      <c r="AB83" s="76">
        <v>21054589</v>
      </c>
      <c r="AC83" s="75">
        <v>0.83335542596217804</v>
      </c>
      <c r="AD83" s="77">
        <v>9</v>
      </c>
      <c r="AE83" s="76">
        <v>22925931</v>
      </c>
      <c r="AF83" s="76">
        <v>18300428</v>
      </c>
      <c r="AG83" s="75">
        <v>0.83868446573176503</v>
      </c>
      <c r="AH83" s="77">
        <v>8</v>
      </c>
      <c r="AI83" s="76">
        <v>25778600</v>
      </c>
      <c r="AJ83" s="76">
        <v>19921468</v>
      </c>
      <c r="AK83" s="75">
        <v>0.81012388288814197</v>
      </c>
      <c r="AL83" s="77">
        <v>9</v>
      </c>
      <c r="AM83" s="76">
        <v>21002891</v>
      </c>
      <c r="AN83" s="76">
        <v>16538142</v>
      </c>
      <c r="AO83" s="75">
        <v>0.82983713043198604</v>
      </c>
      <c r="AP83" s="77">
        <v>9</v>
      </c>
      <c r="AQ83" s="76">
        <v>23632037</v>
      </c>
      <c r="AR83" s="76">
        <v>17875465</v>
      </c>
      <c r="AS83" s="75">
        <v>0.820707582585254</v>
      </c>
      <c r="AT83" s="77">
        <v>9.3000000000000007</v>
      </c>
      <c r="AU83" s="76">
        <v>29483732</v>
      </c>
      <c r="AV83" s="76">
        <v>22063000</v>
      </c>
      <c r="AW83" s="75">
        <v>0.81251482748413295</v>
      </c>
      <c r="AX83" s="77">
        <v>9.3000000000000007</v>
      </c>
      <c r="AY83" s="76">
        <v>29054278</v>
      </c>
      <c r="AZ83" s="76">
        <v>21800609</v>
      </c>
      <c r="BA83" s="75">
        <v>0.811442002705004</v>
      </c>
      <c r="BB83" s="77">
        <v>9</v>
      </c>
      <c r="BC83" s="76">
        <v>31540496</v>
      </c>
      <c r="BD83" s="76">
        <v>24381884</v>
      </c>
      <c r="BE83" s="75">
        <v>0.82000512614945298</v>
      </c>
      <c r="BF83" s="77">
        <v>8.6999999999999993</v>
      </c>
      <c r="BG83" s="76">
        <v>28783056</v>
      </c>
      <c r="BH83" s="76">
        <v>22242182</v>
      </c>
      <c r="BI83" s="75">
        <v>0.81257905337251202</v>
      </c>
    </row>
    <row r="84" spans="1:61" ht="16" customHeight="1" x14ac:dyDescent="0.15">
      <c r="A84" s="58">
        <v>80</v>
      </c>
      <c r="B84" s="77">
        <v>9.5</v>
      </c>
      <c r="C84" s="76">
        <v>27769298</v>
      </c>
      <c r="D84" s="76">
        <v>21585840</v>
      </c>
      <c r="E84" s="75">
        <v>0.84072720599149398</v>
      </c>
      <c r="F84" s="77">
        <v>9.1999999999999993</v>
      </c>
      <c r="G84" s="76">
        <v>22410476</v>
      </c>
      <c r="H84" s="76">
        <v>17841826</v>
      </c>
      <c r="I84" s="75">
        <v>0.840696140134227</v>
      </c>
      <c r="J84" s="77">
        <v>8.9</v>
      </c>
      <c r="K84" s="76">
        <v>21781230</v>
      </c>
      <c r="L84" s="76">
        <v>17387420</v>
      </c>
      <c r="M84" s="75">
        <v>0.83855057668431399</v>
      </c>
      <c r="N84" s="77">
        <v>9.5</v>
      </c>
      <c r="O84" s="76">
        <v>36367996</v>
      </c>
      <c r="P84" s="76">
        <v>18872679</v>
      </c>
      <c r="Q84" s="75">
        <v>0.81176231033556201</v>
      </c>
      <c r="R84" s="77">
        <v>8.8000000000000007</v>
      </c>
      <c r="S84" s="76">
        <v>41431369</v>
      </c>
      <c r="T84" s="76">
        <v>32362644</v>
      </c>
      <c r="U84" s="75">
        <v>0.813770200364482</v>
      </c>
      <c r="V84" s="77">
        <v>8.6999999999999993</v>
      </c>
      <c r="W84" s="76">
        <v>23525651</v>
      </c>
      <c r="X84" s="76">
        <v>16965610</v>
      </c>
      <c r="Y84" s="75">
        <v>0.79739790195775395</v>
      </c>
      <c r="Z84" s="77">
        <v>8.9</v>
      </c>
      <c r="AA84" s="76">
        <v>28133622</v>
      </c>
      <c r="AB84" s="76">
        <v>20284287</v>
      </c>
      <c r="AC84" s="75">
        <v>0.82607798108159902</v>
      </c>
      <c r="AD84" s="77">
        <v>8.9</v>
      </c>
      <c r="AE84" s="76">
        <v>24576520</v>
      </c>
      <c r="AF84" s="76">
        <v>19081590</v>
      </c>
      <c r="AG84" s="75">
        <v>0.830912290929537</v>
      </c>
      <c r="AH84" s="77">
        <v>7.5</v>
      </c>
      <c r="AI84" s="76">
        <v>22064238</v>
      </c>
      <c r="AJ84" s="76">
        <v>17088877</v>
      </c>
      <c r="AK84" s="75">
        <v>0.81203360833097604</v>
      </c>
      <c r="AL84" s="77">
        <v>8.3000000000000007</v>
      </c>
      <c r="AM84" s="76">
        <v>22453362</v>
      </c>
      <c r="AN84" s="76">
        <v>17512879</v>
      </c>
      <c r="AO84" s="75">
        <v>0.823876223044541</v>
      </c>
      <c r="AP84" s="77">
        <v>8.9</v>
      </c>
      <c r="AQ84" s="76">
        <v>26490222</v>
      </c>
      <c r="AR84" s="76">
        <v>20313898</v>
      </c>
      <c r="AS84" s="75">
        <v>0.815160357341707</v>
      </c>
      <c r="AT84" s="77">
        <v>10</v>
      </c>
      <c r="AU84" s="76">
        <v>38625682</v>
      </c>
      <c r="AV84" s="76">
        <v>29484997</v>
      </c>
      <c r="AW84" s="75">
        <v>0.82415425441131496</v>
      </c>
      <c r="AX84" s="77">
        <v>9.4</v>
      </c>
      <c r="AY84" s="76">
        <v>29683632</v>
      </c>
      <c r="AZ84" s="76">
        <v>22401523</v>
      </c>
      <c r="BA84" s="75">
        <v>0.815365886762769</v>
      </c>
      <c r="BB84" s="77">
        <v>9</v>
      </c>
      <c r="BC84" s="76">
        <v>23333830</v>
      </c>
      <c r="BD84" s="76">
        <v>18154121</v>
      </c>
      <c r="BE84" s="75">
        <v>0.82307418744294802</v>
      </c>
      <c r="BF84" s="77">
        <v>8.6999999999999993</v>
      </c>
      <c r="BG84" s="76">
        <v>31507345</v>
      </c>
      <c r="BH84" s="76">
        <v>24334269</v>
      </c>
      <c r="BI84" s="75">
        <v>0.81129022525107097</v>
      </c>
    </row>
    <row r="85" spans="1:61" s="64" customFormat="1" ht="16" customHeight="1" x14ac:dyDescent="0.15">
      <c r="A85" s="58">
        <v>81</v>
      </c>
      <c r="B85" s="77">
        <v>9.4</v>
      </c>
      <c r="C85" s="76">
        <v>29040668</v>
      </c>
      <c r="D85" s="76">
        <v>22383922</v>
      </c>
      <c r="E85" s="75">
        <v>0.83490320848035404</v>
      </c>
      <c r="F85" s="77">
        <v>9.3000000000000007</v>
      </c>
      <c r="G85" s="76">
        <v>33236718</v>
      </c>
      <c r="H85" s="76">
        <v>26263325</v>
      </c>
      <c r="I85" s="75">
        <v>0.83215087919424502</v>
      </c>
      <c r="J85" s="77">
        <v>8.6</v>
      </c>
      <c r="K85" s="76">
        <v>47765659</v>
      </c>
      <c r="L85" s="76">
        <v>38355170</v>
      </c>
      <c r="M85" s="75">
        <v>0.84257201970768403</v>
      </c>
      <c r="N85" s="77">
        <v>9.1</v>
      </c>
      <c r="O85" s="76">
        <v>34076446</v>
      </c>
      <c r="P85" s="76">
        <v>19861565</v>
      </c>
      <c r="Q85" s="75">
        <v>0.80277932963264798</v>
      </c>
      <c r="R85" s="77">
        <v>8.6999999999999993</v>
      </c>
      <c r="S85" s="76">
        <v>24144787</v>
      </c>
      <c r="T85" s="76">
        <v>18713705</v>
      </c>
      <c r="U85" s="75">
        <v>0.81447680704390402</v>
      </c>
      <c r="V85" s="77">
        <v>9.1</v>
      </c>
      <c r="W85" s="76">
        <v>28421417</v>
      </c>
      <c r="X85" s="76">
        <v>20579055</v>
      </c>
      <c r="Y85" s="75">
        <v>0.80210830089641105</v>
      </c>
      <c r="Z85" s="77">
        <v>9</v>
      </c>
      <c r="AA85" s="76">
        <v>59953091</v>
      </c>
      <c r="AB85" s="76">
        <v>42979774</v>
      </c>
      <c r="AC85" s="75">
        <v>0.83271474843996895</v>
      </c>
      <c r="AD85" s="77">
        <v>9.1</v>
      </c>
      <c r="AE85" s="76">
        <v>26751453</v>
      </c>
      <c r="AF85" s="76">
        <v>20810850</v>
      </c>
      <c r="AG85" s="75">
        <v>0.83235722336971596</v>
      </c>
      <c r="AH85" s="77">
        <v>8.1</v>
      </c>
      <c r="AI85" s="76">
        <v>31243083</v>
      </c>
      <c r="AJ85" s="76">
        <v>23899179</v>
      </c>
      <c r="AK85" s="75">
        <v>0.794301274199394</v>
      </c>
      <c r="AL85" s="77">
        <v>8.3000000000000007</v>
      </c>
      <c r="AM85" s="76">
        <v>23736442</v>
      </c>
      <c r="AN85" s="76">
        <v>18486070</v>
      </c>
      <c r="AO85" s="75">
        <v>0.82011378447849803</v>
      </c>
      <c r="AP85" s="77">
        <v>8.6999999999999993</v>
      </c>
      <c r="AQ85" s="76">
        <v>25106944</v>
      </c>
      <c r="AR85" s="76">
        <v>18583644</v>
      </c>
      <c r="AS85" s="75">
        <v>0.79349567029742896</v>
      </c>
      <c r="AT85" s="77">
        <v>9.1999999999999993</v>
      </c>
      <c r="AU85" s="76">
        <v>32909242</v>
      </c>
      <c r="AV85" s="76">
        <v>24836865</v>
      </c>
      <c r="AW85" s="75">
        <v>0.81842506705572904</v>
      </c>
      <c r="AX85" s="77">
        <v>9.3000000000000007</v>
      </c>
      <c r="AY85" s="76">
        <v>28298254</v>
      </c>
      <c r="AZ85" s="76">
        <v>21135612</v>
      </c>
      <c r="BA85" s="75">
        <v>0.80809195686370605</v>
      </c>
      <c r="BB85" s="77">
        <v>8.9</v>
      </c>
      <c r="BC85" s="76">
        <v>27875200</v>
      </c>
      <c r="BD85" s="76">
        <v>21093910</v>
      </c>
      <c r="BE85" s="75">
        <v>0.81685352519262699</v>
      </c>
      <c r="BF85" s="77">
        <v>7.8</v>
      </c>
      <c r="BG85" s="76">
        <v>23746394</v>
      </c>
      <c r="BH85" s="76">
        <v>18302594</v>
      </c>
      <c r="BI85" s="75">
        <v>0.81061859059872399</v>
      </c>
    </row>
    <row r="86" spans="1:61" s="64" customFormat="1" ht="16" customHeight="1" x14ac:dyDescent="0.15">
      <c r="A86" s="58">
        <v>82</v>
      </c>
      <c r="B86" s="77">
        <v>9.6</v>
      </c>
      <c r="C86" s="76">
        <v>29591271</v>
      </c>
      <c r="D86" s="76">
        <v>23176355</v>
      </c>
      <c r="E86" s="75">
        <v>0.84777936857938396</v>
      </c>
      <c r="F86" s="77">
        <v>9.1999999999999993</v>
      </c>
      <c r="G86" s="76">
        <v>35427304</v>
      </c>
      <c r="H86" s="76">
        <v>28147292</v>
      </c>
      <c r="I86" s="75">
        <v>0.83648761108041703</v>
      </c>
      <c r="J86" s="77">
        <v>8.9</v>
      </c>
      <c r="K86" s="76">
        <v>38061604</v>
      </c>
      <c r="L86" s="76">
        <v>27223139</v>
      </c>
      <c r="M86" s="75">
        <v>0.85103550356438695</v>
      </c>
      <c r="N86" s="77">
        <v>9.1</v>
      </c>
      <c r="O86" s="76">
        <v>34961604</v>
      </c>
      <c r="P86" s="76">
        <v>20659606</v>
      </c>
      <c r="Q86" s="75">
        <v>0.80443522488890595</v>
      </c>
      <c r="R86" s="77">
        <v>8.6</v>
      </c>
      <c r="S86" s="76">
        <v>22179496</v>
      </c>
      <c r="T86" s="76">
        <v>17133690</v>
      </c>
      <c r="U86" s="75">
        <v>0.81995349429068198</v>
      </c>
      <c r="V86" s="77">
        <v>8.6999999999999993</v>
      </c>
      <c r="W86" s="76">
        <v>29086114</v>
      </c>
      <c r="X86" s="76">
        <v>21259454</v>
      </c>
      <c r="Y86" s="75">
        <v>0.80853609373478696</v>
      </c>
      <c r="Z86" s="77">
        <v>8.9</v>
      </c>
      <c r="AA86" s="76">
        <v>27008171</v>
      </c>
      <c r="AB86" s="76">
        <v>19462853</v>
      </c>
      <c r="AC86" s="75">
        <v>0.83217801825973903</v>
      </c>
      <c r="AD86" s="77">
        <v>9</v>
      </c>
      <c r="AE86" s="76">
        <v>27779416</v>
      </c>
      <c r="AF86" s="76">
        <v>21481174</v>
      </c>
      <c r="AG86" s="75">
        <v>0.83311775456474502</v>
      </c>
      <c r="AH86" s="77">
        <v>9.1</v>
      </c>
      <c r="AI86" s="76">
        <v>30839237</v>
      </c>
      <c r="AJ86" s="76">
        <v>23857823</v>
      </c>
      <c r="AK86" s="75">
        <v>0.80811712900931298</v>
      </c>
      <c r="AL86" s="77">
        <v>8.6999999999999993</v>
      </c>
      <c r="AM86" s="76">
        <v>21125152</v>
      </c>
      <c r="AN86" s="76">
        <v>16675337</v>
      </c>
      <c r="AO86" s="75">
        <v>0.83278287539357898</v>
      </c>
      <c r="AP86" s="77">
        <v>8.8000000000000007</v>
      </c>
      <c r="AQ86" s="76">
        <v>40212048</v>
      </c>
      <c r="AR86" s="76">
        <v>30200911</v>
      </c>
      <c r="AS86" s="75">
        <v>0.82518808461070403</v>
      </c>
      <c r="AT86" s="77">
        <v>9.1</v>
      </c>
      <c r="AU86" s="76">
        <v>29488922</v>
      </c>
      <c r="AV86" s="76">
        <v>22527359</v>
      </c>
      <c r="AW86" s="75">
        <v>0.82858358528770604</v>
      </c>
      <c r="AX86" s="77">
        <v>9.1</v>
      </c>
      <c r="AY86" s="76">
        <v>27673038</v>
      </c>
      <c r="AZ86" s="76">
        <v>21016373</v>
      </c>
      <c r="BA86" s="75">
        <v>0.82133912637580497</v>
      </c>
      <c r="BB86" s="77">
        <v>8.9</v>
      </c>
      <c r="BC86" s="76">
        <v>56627088</v>
      </c>
      <c r="BD86" s="76">
        <v>44426787</v>
      </c>
      <c r="BE86" s="75">
        <v>0.83096702584258697</v>
      </c>
      <c r="BF86" s="77">
        <v>9.1999999999999993</v>
      </c>
      <c r="BG86" s="76">
        <v>24799955</v>
      </c>
      <c r="BH86" s="76">
        <v>19376826</v>
      </c>
      <c r="BI86" s="75">
        <v>0.82193647121014102</v>
      </c>
    </row>
    <row r="87" spans="1:61" s="64" customFormat="1" ht="16" customHeight="1" x14ac:dyDescent="0.15">
      <c r="A87" s="58">
        <v>83</v>
      </c>
      <c r="B87" s="77">
        <v>9.6</v>
      </c>
      <c r="C87" s="76">
        <v>27095611</v>
      </c>
      <c r="D87" s="76">
        <v>20920595</v>
      </c>
      <c r="E87" s="75">
        <v>0.83740070209168505</v>
      </c>
      <c r="F87" s="77">
        <v>9.8000000000000007</v>
      </c>
      <c r="G87" s="76">
        <v>34603256</v>
      </c>
      <c r="H87" s="76">
        <v>27280807</v>
      </c>
      <c r="I87" s="75">
        <v>0.82976769868303202</v>
      </c>
      <c r="J87" s="77">
        <v>7.6</v>
      </c>
      <c r="K87" s="76">
        <v>22455547</v>
      </c>
      <c r="L87" s="76">
        <v>18018758</v>
      </c>
      <c r="M87" s="75">
        <v>0.84458463703395203</v>
      </c>
      <c r="N87" s="77">
        <v>9.1999999999999993</v>
      </c>
      <c r="O87" s="76">
        <v>40148844</v>
      </c>
      <c r="P87" s="76">
        <v>24010044</v>
      </c>
      <c r="Q87" s="75">
        <v>0.83083235719649495</v>
      </c>
      <c r="R87" s="77">
        <v>8.6999999999999993</v>
      </c>
      <c r="S87" s="76">
        <v>25033914</v>
      </c>
      <c r="T87" s="76">
        <v>19336681</v>
      </c>
      <c r="U87" s="75">
        <v>0.81171488838620698</v>
      </c>
      <c r="V87" s="77">
        <v>8.4</v>
      </c>
      <c r="W87" s="76">
        <v>25753530</v>
      </c>
      <c r="X87" s="76">
        <v>18750189</v>
      </c>
      <c r="Y87" s="75">
        <v>0.80804615375200695</v>
      </c>
      <c r="Z87" s="77">
        <v>8.9</v>
      </c>
      <c r="AA87" s="76">
        <v>26805045</v>
      </c>
      <c r="AB87" s="76">
        <v>19373634</v>
      </c>
      <c r="AC87" s="75">
        <v>0.82400409160168997</v>
      </c>
      <c r="AD87" s="77">
        <v>9.1</v>
      </c>
      <c r="AE87" s="76">
        <v>25484834</v>
      </c>
      <c r="AF87" s="76">
        <v>19886791</v>
      </c>
      <c r="AG87" s="75">
        <v>0.82983888638265002</v>
      </c>
      <c r="AH87" s="77">
        <v>7.7</v>
      </c>
      <c r="AI87" s="76">
        <v>28557094</v>
      </c>
      <c r="AJ87" s="76">
        <v>21420251</v>
      </c>
      <c r="AK87" s="75">
        <v>0.78129748209593197</v>
      </c>
      <c r="AL87" s="77">
        <v>8.3000000000000007</v>
      </c>
      <c r="AM87" s="76">
        <v>22688635</v>
      </c>
      <c r="AN87" s="76">
        <v>17526774</v>
      </c>
      <c r="AO87" s="75">
        <v>0.81426953872548102</v>
      </c>
      <c r="AP87" s="77">
        <v>8.9</v>
      </c>
      <c r="AQ87" s="76">
        <v>53799844</v>
      </c>
      <c r="AR87" s="76">
        <v>39847089</v>
      </c>
      <c r="AS87" s="75">
        <v>0.81979391241373201</v>
      </c>
      <c r="AT87" s="77">
        <v>9.1</v>
      </c>
      <c r="AU87" s="76">
        <v>34351707</v>
      </c>
      <c r="AV87" s="76">
        <v>25743034</v>
      </c>
      <c r="AW87" s="75">
        <v>0.81477828552112797</v>
      </c>
      <c r="AX87" s="77">
        <v>9.1</v>
      </c>
      <c r="AY87" s="76">
        <v>29070887</v>
      </c>
      <c r="AZ87" s="76">
        <v>21554544</v>
      </c>
      <c r="BA87" s="75">
        <v>0.80172278640325301</v>
      </c>
      <c r="BB87" s="77">
        <v>9</v>
      </c>
      <c r="BC87" s="76">
        <v>33209109</v>
      </c>
      <c r="BD87" s="76">
        <v>25541184</v>
      </c>
      <c r="BE87" s="75">
        <v>0.81640393359318997</v>
      </c>
      <c r="BF87" s="77">
        <v>8.5</v>
      </c>
      <c r="BG87" s="76">
        <v>28052786</v>
      </c>
      <c r="BH87" s="76">
        <v>20822120</v>
      </c>
      <c r="BI87" s="75">
        <v>0.79886531239915703</v>
      </c>
    </row>
    <row r="88" spans="1:61" ht="16" customHeight="1" x14ac:dyDescent="0.15">
      <c r="A88" s="58">
        <v>84</v>
      </c>
      <c r="B88" s="77">
        <v>9.3000000000000007</v>
      </c>
      <c r="C88" s="76">
        <v>32433162</v>
      </c>
      <c r="D88" s="76">
        <v>25013228</v>
      </c>
      <c r="E88" s="75">
        <v>0.83608364116137301</v>
      </c>
      <c r="F88" s="77">
        <v>9.3000000000000007</v>
      </c>
      <c r="G88" s="76">
        <v>36620539</v>
      </c>
      <c r="H88" s="76">
        <v>28592556</v>
      </c>
      <c r="I88" s="75">
        <v>0.82603341366144101</v>
      </c>
      <c r="J88" s="77">
        <v>9.8000000000000007</v>
      </c>
      <c r="K88" s="76">
        <v>39301251</v>
      </c>
      <c r="L88" s="76">
        <v>30495735</v>
      </c>
      <c r="M88" s="75">
        <v>0.84773847063159502</v>
      </c>
      <c r="N88" s="77">
        <v>9.1999999999999993</v>
      </c>
      <c r="O88" s="76">
        <v>33925592</v>
      </c>
      <c r="P88" s="76">
        <v>19666743</v>
      </c>
      <c r="Q88" s="75">
        <v>0.79733551775389</v>
      </c>
      <c r="R88" s="77">
        <v>8.9</v>
      </c>
      <c r="S88" s="76">
        <v>41372703</v>
      </c>
      <c r="T88" s="76">
        <v>32726045</v>
      </c>
      <c r="U88" s="75">
        <v>0.82484301451352204</v>
      </c>
      <c r="V88" s="77">
        <v>8.9</v>
      </c>
      <c r="W88" s="76">
        <v>35732422</v>
      </c>
      <c r="X88" s="76">
        <v>26548913</v>
      </c>
      <c r="Y88" s="75">
        <v>0.81557640219374805</v>
      </c>
      <c r="Z88" s="77">
        <v>9.3000000000000007</v>
      </c>
      <c r="AA88" s="76">
        <v>26836716</v>
      </c>
      <c r="AB88" s="76">
        <v>19230212</v>
      </c>
      <c r="AC88" s="75">
        <v>0.826860217187943</v>
      </c>
      <c r="AD88" s="77">
        <v>9</v>
      </c>
      <c r="AE88" s="76">
        <v>24420626</v>
      </c>
      <c r="AF88" s="76">
        <v>18922400</v>
      </c>
      <c r="AG88" s="75">
        <v>0.82787600217933</v>
      </c>
      <c r="AH88" s="77">
        <v>8.8000000000000007</v>
      </c>
      <c r="AI88" s="76">
        <v>26149032</v>
      </c>
      <c r="AJ88" s="76">
        <v>20427725</v>
      </c>
      <c r="AK88" s="75">
        <v>0.81555201334029204</v>
      </c>
      <c r="AL88" s="77">
        <v>8.1999999999999993</v>
      </c>
      <c r="AM88" s="76">
        <v>22767694</v>
      </c>
      <c r="AN88" s="76">
        <v>16888634</v>
      </c>
      <c r="AO88" s="75">
        <v>0.78979989836992504</v>
      </c>
      <c r="AP88" s="77">
        <v>8.8000000000000007</v>
      </c>
      <c r="AQ88" s="76">
        <v>22563533</v>
      </c>
      <c r="AR88" s="76">
        <v>16728042</v>
      </c>
      <c r="AS88" s="75">
        <v>0.79268692233820104</v>
      </c>
      <c r="AT88" s="77">
        <v>9</v>
      </c>
      <c r="AU88" s="76">
        <v>29594192</v>
      </c>
      <c r="AV88" s="76">
        <v>22436695</v>
      </c>
      <c r="AW88" s="75">
        <v>0.82215627880054898</v>
      </c>
      <c r="AX88" s="77">
        <v>9</v>
      </c>
      <c r="AY88" s="76">
        <v>24923184</v>
      </c>
      <c r="AZ88" s="76">
        <v>18829589</v>
      </c>
      <c r="BA88" s="75">
        <v>0.81478854888574004</v>
      </c>
      <c r="BB88" s="77">
        <v>9.3000000000000007</v>
      </c>
      <c r="BC88" s="76">
        <v>27703064</v>
      </c>
      <c r="BD88" s="76">
        <v>20880158</v>
      </c>
      <c r="BE88" s="75">
        <v>0.81520790064783599</v>
      </c>
      <c r="BF88" s="77">
        <v>8.6</v>
      </c>
      <c r="BG88" s="76">
        <v>23776032</v>
      </c>
      <c r="BH88" s="76">
        <v>16963274</v>
      </c>
      <c r="BI88" s="75">
        <v>0.78657889843637296</v>
      </c>
    </row>
    <row r="89" spans="1:61" ht="16" customHeight="1" x14ac:dyDescent="0.15">
      <c r="A89" s="58">
        <v>85</v>
      </c>
      <c r="B89" s="77">
        <v>9.3000000000000007</v>
      </c>
      <c r="C89" s="76">
        <v>24955845</v>
      </c>
      <c r="D89" s="76">
        <v>19462178</v>
      </c>
      <c r="E89" s="75">
        <v>0.84513427359415105</v>
      </c>
      <c r="F89" s="77">
        <v>9.6</v>
      </c>
      <c r="G89" s="76">
        <v>28381873</v>
      </c>
      <c r="H89" s="76">
        <v>22645416</v>
      </c>
      <c r="I89" s="75">
        <v>0.84242164785584295</v>
      </c>
      <c r="J89" s="77">
        <v>9.1</v>
      </c>
      <c r="K89" s="76">
        <v>34664698</v>
      </c>
      <c r="L89" s="76">
        <v>27306773</v>
      </c>
      <c r="M89" s="75">
        <v>0.85024251744868995</v>
      </c>
      <c r="N89" s="77">
        <v>9.4</v>
      </c>
      <c r="O89" s="76">
        <v>32571511</v>
      </c>
      <c r="P89" s="76">
        <v>17370282</v>
      </c>
      <c r="Q89" s="75">
        <v>0.82816017358947103</v>
      </c>
      <c r="R89" s="77">
        <v>8.6999999999999993</v>
      </c>
      <c r="S89" s="76">
        <v>24836383</v>
      </c>
      <c r="T89" s="76">
        <v>19474480</v>
      </c>
      <c r="U89" s="75">
        <v>0.82092270213068796</v>
      </c>
      <c r="V89" s="77">
        <v>8.6999999999999993</v>
      </c>
      <c r="W89" s="76">
        <v>36891755</v>
      </c>
      <c r="X89" s="76">
        <v>27246588</v>
      </c>
      <c r="Y89" s="75">
        <v>0.82273794975808501</v>
      </c>
      <c r="Z89" s="77">
        <v>9.1</v>
      </c>
      <c r="AA89" s="76">
        <v>24727699</v>
      </c>
      <c r="AB89" s="76">
        <v>19853794</v>
      </c>
      <c r="AC89" s="75">
        <v>0.84258070370011495</v>
      </c>
      <c r="AD89" s="77">
        <v>7</v>
      </c>
      <c r="AE89" s="76">
        <v>29331815</v>
      </c>
      <c r="AF89" s="76">
        <v>23559697</v>
      </c>
      <c r="AG89" s="75">
        <v>0.83854104510109695</v>
      </c>
      <c r="AH89" s="77">
        <v>8.3000000000000007</v>
      </c>
      <c r="AI89" s="76">
        <v>33825926</v>
      </c>
      <c r="AJ89" s="76">
        <v>25868712</v>
      </c>
      <c r="AK89" s="75">
        <v>0.80746414947551703</v>
      </c>
      <c r="AL89" s="77">
        <v>8.4</v>
      </c>
      <c r="AM89" s="76">
        <v>22043621</v>
      </c>
      <c r="AN89" s="76">
        <v>17518447</v>
      </c>
      <c r="AO89" s="75">
        <v>0.835309199085847</v>
      </c>
      <c r="AP89" s="77">
        <v>9.8000000000000007</v>
      </c>
      <c r="AQ89" s="76">
        <v>31332752</v>
      </c>
      <c r="AR89" s="76">
        <v>23891815</v>
      </c>
      <c r="AS89" s="75">
        <v>0.83082175765577604</v>
      </c>
      <c r="AT89" s="77">
        <v>9.1</v>
      </c>
      <c r="AU89" s="76">
        <v>24902360</v>
      </c>
      <c r="AV89" s="76">
        <v>18672035</v>
      </c>
      <c r="AW89" s="75">
        <v>0.82511854649312499</v>
      </c>
      <c r="AX89" s="77">
        <v>9</v>
      </c>
      <c r="AY89" s="76">
        <v>27478662</v>
      </c>
      <c r="AZ89" s="76">
        <v>20909285</v>
      </c>
      <c r="BA89" s="75">
        <v>0.82085874575404005</v>
      </c>
      <c r="BB89" s="77">
        <v>8.9</v>
      </c>
      <c r="BC89" s="76">
        <v>27177783</v>
      </c>
      <c r="BD89" s="76">
        <v>21142649</v>
      </c>
      <c r="BE89" s="75">
        <v>0.82536581005028298</v>
      </c>
      <c r="BF89" s="77">
        <v>9</v>
      </c>
      <c r="BG89" s="76">
        <v>64779964</v>
      </c>
      <c r="BH89" s="76">
        <v>48083399</v>
      </c>
      <c r="BI89" s="75">
        <v>0.78861208851951703</v>
      </c>
    </row>
    <row r="90" spans="1:61" ht="16" customHeight="1" x14ac:dyDescent="0.15">
      <c r="A90" s="58">
        <v>86</v>
      </c>
      <c r="B90" s="77">
        <v>9.6</v>
      </c>
      <c r="C90" s="76">
        <v>25329416</v>
      </c>
      <c r="D90" s="76">
        <v>19689664</v>
      </c>
      <c r="E90" s="75">
        <v>0.83851543865709899</v>
      </c>
      <c r="F90" s="77">
        <v>9.6</v>
      </c>
      <c r="G90" s="76">
        <v>29436988</v>
      </c>
      <c r="H90" s="76">
        <v>23597496</v>
      </c>
      <c r="I90" s="75">
        <v>0.844835691021114</v>
      </c>
      <c r="J90" s="77">
        <v>9.1</v>
      </c>
      <c r="K90" s="76">
        <v>25082263</v>
      </c>
      <c r="L90" s="76">
        <v>19972281</v>
      </c>
      <c r="M90" s="75">
        <v>0.84733385901347003</v>
      </c>
      <c r="N90" s="77">
        <v>9.5</v>
      </c>
      <c r="O90" s="76">
        <v>38756710</v>
      </c>
      <c r="P90" s="76">
        <v>18938025</v>
      </c>
      <c r="Q90" s="75">
        <v>0.819375562919744</v>
      </c>
      <c r="R90" s="77">
        <v>8.8000000000000007</v>
      </c>
      <c r="S90" s="76">
        <v>24775038</v>
      </c>
      <c r="T90" s="76">
        <v>18864939</v>
      </c>
      <c r="U90" s="75">
        <v>0.80465066126801799</v>
      </c>
      <c r="V90" s="77">
        <v>9</v>
      </c>
      <c r="W90" s="76">
        <v>23047755</v>
      </c>
      <c r="X90" s="76">
        <v>16932883</v>
      </c>
      <c r="Y90" s="75">
        <v>0.80814825053045702</v>
      </c>
      <c r="Z90" s="77">
        <v>9.3000000000000007</v>
      </c>
      <c r="AA90" s="76">
        <v>33175628</v>
      </c>
      <c r="AB90" s="76">
        <v>25758714</v>
      </c>
      <c r="AC90" s="75">
        <v>0.83146179992771496</v>
      </c>
      <c r="AD90" s="77">
        <v>9.1</v>
      </c>
      <c r="AE90" s="76">
        <v>21433679</v>
      </c>
      <c r="AF90" s="76">
        <v>17242137</v>
      </c>
      <c r="AG90" s="75">
        <v>0.83859780868089195</v>
      </c>
      <c r="AH90" s="77">
        <v>8</v>
      </c>
      <c r="AI90" s="76">
        <v>25873829</v>
      </c>
      <c r="AJ90" s="76">
        <v>20223336</v>
      </c>
      <c r="AK90" s="75">
        <v>0.81700568492868697</v>
      </c>
      <c r="AL90" s="77">
        <v>8.6999999999999993</v>
      </c>
      <c r="AM90" s="76">
        <v>21011546</v>
      </c>
      <c r="AN90" s="76">
        <v>16550409</v>
      </c>
      <c r="AO90" s="75">
        <v>0.83043506948512502</v>
      </c>
      <c r="AP90" s="77">
        <v>9.1999999999999993</v>
      </c>
      <c r="AQ90" s="76">
        <v>25123883</v>
      </c>
      <c r="AR90" s="76">
        <v>18987481</v>
      </c>
      <c r="AS90" s="75">
        <v>0.80360476614813403</v>
      </c>
      <c r="AT90" s="77">
        <v>9.1</v>
      </c>
      <c r="AU90" s="76">
        <v>25487644</v>
      </c>
      <c r="AV90" s="76">
        <v>19141146</v>
      </c>
      <c r="AW90" s="75">
        <v>0.81684262796082896</v>
      </c>
      <c r="AX90" s="77">
        <v>9.3000000000000007</v>
      </c>
      <c r="AY90" s="76">
        <v>25591703</v>
      </c>
      <c r="AZ90" s="76">
        <v>19377924</v>
      </c>
      <c r="BA90" s="75">
        <v>0.81369515881814602</v>
      </c>
      <c r="BB90" s="77">
        <v>9</v>
      </c>
      <c r="BC90" s="76">
        <v>25376260</v>
      </c>
      <c r="BD90" s="76">
        <v>19654895</v>
      </c>
      <c r="BE90" s="75">
        <v>0.82053143000752304</v>
      </c>
      <c r="BF90" s="77">
        <v>9.1999999999999993</v>
      </c>
      <c r="BG90" s="76">
        <v>39109182</v>
      </c>
      <c r="BH90" s="76">
        <v>29424993</v>
      </c>
      <c r="BI90" s="75">
        <v>0.79805219889130796</v>
      </c>
    </row>
    <row r="91" spans="1:61" ht="16" customHeight="1" x14ac:dyDescent="0.15">
      <c r="A91" s="58">
        <v>87</v>
      </c>
      <c r="B91" s="77">
        <v>9.5</v>
      </c>
      <c r="C91" s="76">
        <v>79734516</v>
      </c>
      <c r="D91" s="76">
        <v>39238422</v>
      </c>
      <c r="E91" s="75">
        <v>0.83482915387449796</v>
      </c>
      <c r="F91" s="77">
        <v>9.9</v>
      </c>
      <c r="G91" s="76">
        <v>24938482</v>
      </c>
      <c r="H91" s="76">
        <v>17664412</v>
      </c>
      <c r="I91" s="75">
        <v>0.84081429899314097</v>
      </c>
      <c r="J91" s="77">
        <v>9.1</v>
      </c>
      <c r="K91" s="76">
        <v>37936898</v>
      </c>
      <c r="L91" s="76">
        <v>21764153</v>
      </c>
      <c r="M91" s="75">
        <v>0.83960812287758302</v>
      </c>
      <c r="N91" s="77">
        <v>9</v>
      </c>
      <c r="O91" s="76">
        <v>50179933</v>
      </c>
      <c r="P91" s="76">
        <v>18072262</v>
      </c>
      <c r="Q91" s="75">
        <v>0.82534565415138905</v>
      </c>
      <c r="R91" s="77">
        <v>8.8000000000000007</v>
      </c>
      <c r="S91" s="76">
        <v>30475972</v>
      </c>
      <c r="T91" s="76">
        <v>22429588</v>
      </c>
      <c r="U91" s="75">
        <v>0.81014983604548896</v>
      </c>
      <c r="V91" s="77">
        <v>9.1</v>
      </c>
      <c r="W91" s="76">
        <v>32296486</v>
      </c>
      <c r="X91" s="76">
        <v>17503743</v>
      </c>
      <c r="Y91" s="75">
        <v>0.80680256462258904</v>
      </c>
      <c r="Z91" s="77">
        <v>9.5</v>
      </c>
      <c r="AA91" s="76">
        <v>41442877</v>
      </c>
      <c r="AB91" s="76">
        <v>21439936</v>
      </c>
      <c r="AC91" s="75">
        <v>0.82416467259095705</v>
      </c>
      <c r="AD91" s="77">
        <v>9.1</v>
      </c>
      <c r="AE91" s="76">
        <v>30759603</v>
      </c>
      <c r="AF91" s="76">
        <v>24642799</v>
      </c>
      <c r="AG91" s="75">
        <v>0.83596886912432999</v>
      </c>
      <c r="AH91" s="77">
        <v>8.6</v>
      </c>
      <c r="AI91" s="76">
        <v>30228295</v>
      </c>
      <c r="AJ91" s="76">
        <v>20514821</v>
      </c>
      <c r="AK91" s="75">
        <v>0.80972743148783699</v>
      </c>
      <c r="AL91" s="77">
        <v>8.5</v>
      </c>
      <c r="AM91" s="76">
        <v>29436691</v>
      </c>
      <c r="AN91" s="76">
        <v>19531519</v>
      </c>
      <c r="AO91" s="75">
        <v>0.83130350169048395</v>
      </c>
      <c r="AP91" s="77">
        <v>9.1</v>
      </c>
      <c r="AQ91" s="76">
        <v>36741761</v>
      </c>
      <c r="AR91" s="76">
        <v>27071881</v>
      </c>
      <c r="AS91" s="75">
        <v>0.81319831594635705</v>
      </c>
      <c r="AT91" s="77">
        <v>9.3000000000000007</v>
      </c>
      <c r="AU91" s="76">
        <v>32641803</v>
      </c>
      <c r="AV91" s="76">
        <v>18454159</v>
      </c>
      <c r="AW91" s="75">
        <v>0.82119385445779303</v>
      </c>
      <c r="AX91" s="77">
        <v>9.3000000000000007</v>
      </c>
      <c r="AY91" s="76">
        <v>47007581</v>
      </c>
      <c r="AZ91" s="76">
        <v>24895240</v>
      </c>
      <c r="BA91" s="75">
        <v>0.81981256621087595</v>
      </c>
      <c r="BB91" s="77">
        <v>9</v>
      </c>
      <c r="BC91" s="76">
        <v>31863923</v>
      </c>
      <c r="BD91" s="76">
        <v>17878518</v>
      </c>
      <c r="BE91" s="75">
        <v>0.81732015717436901</v>
      </c>
      <c r="BF91" s="77">
        <v>9</v>
      </c>
      <c r="BG91" s="76">
        <v>28792944</v>
      </c>
      <c r="BH91" s="76">
        <v>21385139</v>
      </c>
      <c r="BI91" s="75">
        <v>0.79893417605988803</v>
      </c>
    </row>
    <row r="92" spans="1:61" ht="16" customHeight="1" x14ac:dyDescent="0.15">
      <c r="A92" s="58">
        <v>88</v>
      </c>
      <c r="B92" s="77">
        <v>9.3000000000000007</v>
      </c>
      <c r="C92" s="76">
        <v>24855935</v>
      </c>
      <c r="D92" s="76">
        <v>19395871</v>
      </c>
      <c r="E92" s="75">
        <v>0.84067615847622501</v>
      </c>
      <c r="F92" s="77">
        <v>10</v>
      </c>
      <c r="G92" s="76">
        <v>25052583</v>
      </c>
      <c r="H92" s="76">
        <v>19391562</v>
      </c>
      <c r="I92" s="75">
        <v>0.81782774864673902</v>
      </c>
      <c r="J92" s="77">
        <v>8.9</v>
      </c>
      <c r="K92" s="76">
        <v>25706266</v>
      </c>
      <c r="L92" s="76">
        <v>20050927</v>
      </c>
      <c r="M92" s="75">
        <v>0.83181423281607203</v>
      </c>
      <c r="N92" s="77">
        <v>9.1</v>
      </c>
      <c r="O92" s="76">
        <v>35231570</v>
      </c>
      <c r="P92" s="76">
        <v>17037317</v>
      </c>
      <c r="Q92" s="75">
        <v>0.81291747010972304</v>
      </c>
      <c r="R92" s="77">
        <v>8.6</v>
      </c>
      <c r="S92" s="76">
        <v>25519890</v>
      </c>
      <c r="T92" s="76">
        <v>19880885</v>
      </c>
      <c r="U92" s="75">
        <v>0.81572531041110496</v>
      </c>
      <c r="V92" s="77">
        <v>9.1</v>
      </c>
      <c r="W92" s="76">
        <v>22478972</v>
      </c>
      <c r="X92" s="76">
        <v>16485288</v>
      </c>
      <c r="Y92" s="75">
        <v>0.80700174497310595</v>
      </c>
      <c r="Z92" s="77">
        <v>9.5</v>
      </c>
      <c r="AA92" s="76">
        <v>25427062</v>
      </c>
      <c r="AB92" s="76">
        <v>19611006</v>
      </c>
      <c r="AC92" s="75">
        <v>0.83111886763426401</v>
      </c>
      <c r="AD92" s="77">
        <v>9.1999999999999993</v>
      </c>
      <c r="AE92" s="76">
        <v>26684790</v>
      </c>
      <c r="AF92" s="76">
        <v>21298785</v>
      </c>
      <c r="AG92" s="75">
        <v>0.83163791215426897</v>
      </c>
      <c r="AH92" s="77">
        <v>9</v>
      </c>
      <c r="AI92" s="76">
        <v>21525440</v>
      </c>
      <c r="AJ92" s="76">
        <v>16726644</v>
      </c>
      <c r="AK92" s="75">
        <v>0.81178551089995798</v>
      </c>
      <c r="AL92" s="77">
        <v>8.6999999999999993</v>
      </c>
      <c r="AM92" s="76">
        <v>22302748</v>
      </c>
      <c r="AN92" s="76">
        <v>17543456</v>
      </c>
      <c r="AO92" s="75">
        <v>0.82741675535040704</v>
      </c>
      <c r="AP92" s="80" t="s">
        <v>22</v>
      </c>
      <c r="AQ92" s="79" t="s">
        <v>22</v>
      </c>
      <c r="AR92" s="79" t="s">
        <v>22</v>
      </c>
      <c r="AS92" s="78" t="s">
        <v>22</v>
      </c>
      <c r="AT92" s="77">
        <v>8.6</v>
      </c>
      <c r="AU92" s="76">
        <v>22451503</v>
      </c>
      <c r="AV92" s="76">
        <v>16262356</v>
      </c>
      <c r="AW92" s="75">
        <v>0.77395593906565396</v>
      </c>
      <c r="AX92" s="77">
        <v>9.1</v>
      </c>
      <c r="AY92" s="76">
        <v>25686759</v>
      </c>
      <c r="AZ92" s="76">
        <v>19427617</v>
      </c>
      <c r="BA92" s="75">
        <v>0.81279931460438504</v>
      </c>
      <c r="BB92" s="77">
        <v>8.9</v>
      </c>
      <c r="BC92" s="76">
        <v>29347352</v>
      </c>
      <c r="BD92" s="76">
        <v>22143586</v>
      </c>
      <c r="BE92" s="75">
        <v>0.82011893354249499</v>
      </c>
      <c r="BF92" s="77">
        <v>8.6999999999999993</v>
      </c>
      <c r="BG92" s="76">
        <v>31922651</v>
      </c>
      <c r="BH92" s="76">
        <v>21793067</v>
      </c>
      <c r="BI92" s="75">
        <v>0.81583287415656602</v>
      </c>
    </row>
    <row r="93" spans="1:61" ht="16" customHeight="1" x14ac:dyDescent="0.15">
      <c r="A93" s="58">
        <v>89</v>
      </c>
      <c r="B93" s="77">
        <v>9.5</v>
      </c>
      <c r="C93" s="76">
        <v>33339880</v>
      </c>
      <c r="D93" s="76">
        <v>25964506</v>
      </c>
      <c r="E93" s="75">
        <v>0.84221121612488403</v>
      </c>
      <c r="F93" s="77">
        <v>9.3000000000000007</v>
      </c>
      <c r="G93" s="76">
        <v>23273989</v>
      </c>
      <c r="H93" s="76">
        <v>18374593</v>
      </c>
      <c r="I93" s="75">
        <v>0.83247666000882004</v>
      </c>
      <c r="J93" s="77">
        <v>9</v>
      </c>
      <c r="K93" s="76">
        <v>29620710</v>
      </c>
      <c r="L93" s="76">
        <v>23315617</v>
      </c>
      <c r="M93" s="75">
        <v>0.84366142626208895</v>
      </c>
      <c r="N93" s="77">
        <v>9.6</v>
      </c>
      <c r="O93" s="76">
        <v>37846972</v>
      </c>
      <c r="P93" s="76">
        <v>19579634</v>
      </c>
      <c r="Q93" s="75">
        <v>0.80671068939249102</v>
      </c>
      <c r="R93" s="77">
        <v>8.9</v>
      </c>
      <c r="S93" s="76">
        <v>22172507</v>
      </c>
      <c r="T93" s="76">
        <v>16387069</v>
      </c>
      <c r="U93" s="75">
        <v>0.81308339803025997</v>
      </c>
      <c r="V93" s="77">
        <v>9</v>
      </c>
      <c r="W93" s="76">
        <v>27691488</v>
      </c>
      <c r="X93" s="76">
        <v>19750792</v>
      </c>
      <c r="Y93" s="75">
        <v>0.79587836162013403</v>
      </c>
      <c r="Z93" s="77">
        <v>8.8000000000000007</v>
      </c>
      <c r="AA93" s="76">
        <v>52455119</v>
      </c>
      <c r="AB93" s="76">
        <v>41958245</v>
      </c>
      <c r="AC93" s="75">
        <v>0.83802101807075402</v>
      </c>
      <c r="AD93" s="77">
        <v>9.1</v>
      </c>
      <c r="AE93" s="76">
        <v>22874017</v>
      </c>
      <c r="AF93" s="76">
        <v>18389316</v>
      </c>
      <c r="AG93" s="75">
        <v>0.83907039587937704</v>
      </c>
      <c r="AH93" s="77">
        <v>8.8000000000000007</v>
      </c>
      <c r="AI93" s="76">
        <v>32916865</v>
      </c>
      <c r="AJ93" s="76">
        <v>25794250</v>
      </c>
      <c r="AK93" s="75">
        <v>0.81947021259095498</v>
      </c>
      <c r="AL93" s="77">
        <v>9.1</v>
      </c>
      <c r="AM93" s="76">
        <v>21779994</v>
      </c>
      <c r="AN93" s="76">
        <v>17196902</v>
      </c>
      <c r="AO93" s="75">
        <v>0.82770012412925398</v>
      </c>
      <c r="AP93" s="77">
        <v>9.1</v>
      </c>
      <c r="AQ93" s="76">
        <v>24411392</v>
      </c>
      <c r="AR93" s="76">
        <v>18488323</v>
      </c>
      <c r="AS93" s="75">
        <v>0.81471742274586301</v>
      </c>
      <c r="AT93" s="77">
        <v>9.1999999999999993</v>
      </c>
      <c r="AU93" s="76">
        <v>29821698</v>
      </c>
      <c r="AV93" s="76">
        <v>22243542</v>
      </c>
      <c r="AW93" s="75">
        <v>0.81879131633389801</v>
      </c>
      <c r="AX93" s="77" t="s">
        <v>22</v>
      </c>
      <c r="AY93" s="76">
        <v>28633853</v>
      </c>
      <c r="AZ93" s="76">
        <v>21522945</v>
      </c>
      <c r="BA93" s="75">
        <v>0.80986662621901295</v>
      </c>
      <c r="BB93" s="77">
        <v>9.1999999999999993</v>
      </c>
      <c r="BC93" s="76">
        <v>33296815</v>
      </c>
      <c r="BD93" s="76">
        <v>25749793</v>
      </c>
      <c r="BE93" s="75">
        <v>0.81875525498040103</v>
      </c>
      <c r="BF93" s="77">
        <v>8.9</v>
      </c>
      <c r="BG93" s="76">
        <v>22974617</v>
      </c>
      <c r="BH93" s="76">
        <v>17790474</v>
      </c>
      <c r="BI93" s="75">
        <v>0.81227389401628503</v>
      </c>
    </row>
    <row r="94" spans="1:61" ht="16" customHeight="1" x14ac:dyDescent="0.15">
      <c r="A94" s="58">
        <v>90</v>
      </c>
      <c r="B94" s="77">
        <v>9.4</v>
      </c>
      <c r="C94" s="76">
        <v>26337382</v>
      </c>
      <c r="D94" s="76">
        <v>20619452</v>
      </c>
      <c r="E94" s="75">
        <v>0.84522976656978199</v>
      </c>
      <c r="F94" s="77">
        <v>9.6999999999999993</v>
      </c>
      <c r="G94" s="76">
        <v>25450959</v>
      </c>
      <c r="H94" s="76">
        <v>20216399</v>
      </c>
      <c r="I94" s="75">
        <v>0.83762935847873299</v>
      </c>
      <c r="J94" s="77">
        <v>8.8000000000000007</v>
      </c>
      <c r="K94" s="76">
        <v>30857158</v>
      </c>
      <c r="L94" s="76">
        <v>24221477</v>
      </c>
      <c r="M94" s="75">
        <v>0.83607296794363095</v>
      </c>
      <c r="N94" s="77">
        <v>9.4</v>
      </c>
      <c r="O94" s="76">
        <v>41247967</v>
      </c>
      <c r="P94" s="76">
        <v>21709519</v>
      </c>
      <c r="Q94" s="75">
        <v>0.79477479094232495</v>
      </c>
      <c r="R94" s="77">
        <v>8.6</v>
      </c>
      <c r="S94" s="76">
        <v>23500953</v>
      </c>
      <c r="T94" s="76">
        <v>18248038</v>
      </c>
      <c r="U94" s="75">
        <v>0.81240930366988895</v>
      </c>
      <c r="V94" s="77">
        <v>8.9</v>
      </c>
      <c r="W94" s="76">
        <v>36320327</v>
      </c>
      <c r="X94" s="76">
        <v>26043396</v>
      </c>
      <c r="Y94" s="75">
        <v>0.80225281659833203</v>
      </c>
      <c r="Z94" s="77">
        <v>8.4</v>
      </c>
      <c r="AA94" s="76">
        <v>51565734</v>
      </c>
      <c r="AB94" s="76">
        <v>40971320</v>
      </c>
      <c r="AC94" s="75">
        <v>0.834582705693514</v>
      </c>
      <c r="AD94" s="77">
        <v>9</v>
      </c>
      <c r="AE94" s="76">
        <v>25111407</v>
      </c>
      <c r="AF94" s="76">
        <v>19790088</v>
      </c>
      <c r="AG94" s="75">
        <v>0.83295269093871904</v>
      </c>
      <c r="AH94" s="77">
        <v>8</v>
      </c>
      <c r="AI94" s="76">
        <v>25438950</v>
      </c>
      <c r="AJ94" s="76">
        <v>19457574</v>
      </c>
      <c r="AK94" s="75">
        <v>0.80109827551771895</v>
      </c>
      <c r="AL94" s="77">
        <v>9</v>
      </c>
      <c r="AM94" s="76">
        <v>23621643</v>
      </c>
      <c r="AN94" s="76">
        <v>18676032</v>
      </c>
      <c r="AO94" s="75">
        <v>0.83132325951338504</v>
      </c>
      <c r="AP94" s="77">
        <v>9</v>
      </c>
      <c r="AQ94" s="76">
        <v>24511515</v>
      </c>
      <c r="AR94" s="76">
        <v>18455656</v>
      </c>
      <c r="AS94" s="75">
        <v>0.81248853729702697</v>
      </c>
      <c r="AT94" s="77">
        <v>8.9</v>
      </c>
      <c r="AU94" s="76">
        <v>25323409</v>
      </c>
      <c r="AV94" s="76">
        <v>18649975</v>
      </c>
      <c r="AW94" s="75">
        <v>0.80935916417779397</v>
      </c>
      <c r="AX94" s="77">
        <v>9.1999999999999993</v>
      </c>
      <c r="AY94" s="76">
        <v>24857672</v>
      </c>
      <c r="AZ94" s="76">
        <v>18710407</v>
      </c>
      <c r="BA94" s="75">
        <v>0.810994004756457</v>
      </c>
      <c r="BB94" s="77">
        <v>9.1</v>
      </c>
      <c r="BC94" s="76">
        <v>30250056</v>
      </c>
      <c r="BD94" s="76">
        <v>23450049</v>
      </c>
      <c r="BE94" s="75">
        <v>0.82093168374837</v>
      </c>
      <c r="BF94" s="77">
        <v>9.4</v>
      </c>
      <c r="BG94" s="76">
        <v>27877241</v>
      </c>
      <c r="BH94" s="76">
        <v>21619645</v>
      </c>
      <c r="BI94" s="75">
        <v>0.81382900373836697</v>
      </c>
    </row>
    <row r="95" spans="1:61" ht="16" customHeight="1" x14ac:dyDescent="0.15">
      <c r="A95" s="74">
        <v>91</v>
      </c>
      <c r="B95" s="73">
        <v>9.1999999999999993</v>
      </c>
      <c r="C95" s="72">
        <v>34975541</v>
      </c>
      <c r="D95" s="72">
        <v>27274775</v>
      </c>
      <c r="E95" s="71">
        <v>0.84535951755437999</v>
      </c>
      <c r="F95" s="73">
        <v>8.9</v>
      </c>
      <c r="G95" s="72">
        <v>21787478</v>
      </c>
      <c r="H95" s="72">
        <v>17292407</v>
      </c>
      <c r="I95" s="71">
        <v>0.840066018346451</v>
      </c>
      <c r="J95" s="73">
        <v>8.3000000000000007</v>
      </c>
      <c r="K95" s="72">
        <v>46268060</v>
      </c>
      <c r="L95" s="72">
        <v>36625790</v>
      </c>
      <c r="M95" s="71">
        <v>0.84119971118016501</v>
      </c>
      <c r="N95" s="73">
        <v>9.1999999999999993</v>
      </c>
      <c r="O95" s="72">
        <v>37627054</v>
      </c>
      <c r="P95" s="72">
        <v>19575466</v>
      </c>
      <c r="Q95" s="71">
        <v>0.80749117823997796</v>
      </c>
      <c r="R95" s="73">
        <v>8.6999999999999993</v>
      </c>
      <c r="S95" s="72">
        <v>24427804</v>
      </c>
      <c r="T95" s="72">
        <v>18711329</v>
      </c>
      <c r="U95" s="71">
        <v>0.80534754971365896</v>
      </c>
      <c r="V95" s="73">
        <v>8.8000000000000007</v>
      </c>
      <c r="W95" s="72">
        <v>24313774</v>
      </c>
      <c r="X95" s="72">
        <v>17719832</v>
      </c>
      <c r="Y95" s="71">
        <v>0.80302647778325997</v>
      </c>
      <c r="Z95" s="73">
        <v>8.8000000000000007</v>
      </c>
      <c r="AA95" s="72">
        <v>26936457</v>
      </c>
      <c r="AB95" s="72">
        <v>19626586</v>
      </c>
      <c r="AC95" s="71">
        <v>0.82883739283734603</v>
      </c>
      <c r="AD95" s="73">
        <v>8.9</v>
      </c>
      <c r="AE95" s="72">
        <v>22765853</v>
      </c>
      <c r="AF95" s="72">
        <v>17996728</v>
      </c>
      <c r="AG95" s="71">
        <v>0.83288579180048905</v>
      </c>
      <c r="AH95" s="73">
        <v>7.5</v>
      </c>
      <c r="AI95" s="72">
        <v>31575606</v>
      </c>
      <c r="AJ95" s="72">
        <v>24417747</v>
      </c>
      <c r="AK95" s="71">
        <v>0.808944927169024</v>
      </c>
      <c r="AL95" s="73">
        <v>8.6</v>
      </c>
      <c r="AM95" s="72">
        <v>23468311</v>
      </c>
      <c r="AN95" s="72">
        <v>18563763</v>
      </c>
      <c r="AO95" s="71">
        <v>0.83198676799669402</v>
      </c>
      <c r="AP95" s="73">
        <v>8.9</v>
      </c>
      <c r="AQ95" s="72">
        <v>24303778</v>
      </c>
      <c r="AR95" s="72">
        <v>18398589</v>
      </c>
      <c r="AS95" s="71">
        <v>0.81968146428434097</v>
      </c>
      <c r="AT95" s="73">
        <v>9</v>
      </c>
      <c r="AU95" s="72">
        <v>27475056</v>
      </c>
      <c r="AV95" s="72">
        <v>20820719</v>
      </c>
      <c r="AW95" s="71">
        <v>0.82129741576371096</v>
      </c>
      <c r="AX95" s="73">
        <v>9.3000000000000007</v>
      </c>
      <c r="AY95" s="72">
        <v>25235945</v>
      </c>
      <c r="AZ95" s="72">
        <v>19073216</v>
      </c>
      <c r="BA95" s="71">
        <v>0.81474108929474898</v>
      </c>
      <c r="BB95" s="73">
        <v>9</v>
      </c>
      <c r="BC95" s="72">
        <v>23117250</v>
      </c>
      <c r="BD95" s="72">
        <v>17864798</v>
      </c>
      <c r="BE95" s="71">
        <v>0.81964266846003697</v>
      </c>
      <c r="BF95" s="73">
        <v>8.9</v>
      </c>
      <c r="BG95" s="72">
        <v>25786655</v>
      </c>
      <c r="BH95" s="72">
        <v>20005774</v>
      </c>
      <c r="BI95" s="71">
        <v>0.81506192458722004</v>
      </c>
    </row>
    <row r="96" spans="1:61" s="85" customFormat="1" ht="8" customHeight="1" x14ac:dyDescent="0.15">
      <c r="A96" s="89"/>
      <c r="B96" s="88"/>
      <c r="C96" s="87"/>
      <c r="D96" s="87"/>
      <c r="E96" s="86"/>
      <c r="F96" s="88"/>
      <c r="G96" s="87"/>
      <c r="H96" s="87"/>
      <c r="I96" s="86"/>
      <c r="J96" s="88"/>
      <c r="K96" s="87"/>
      <c r="L96" s="87"/>
      <c r="M96" s="86"/>
      <c r="N96" s="88"/>
      <c r="O96" s="87"/>
      <c r="P96" s="87"/>
      <c r="Q96" s="86"/>
      <c r="R96" s="88"/>
      <c r="S96" s="87"/>
      <c r="T96" s="87"/>
      <c r="U96" s="86"/>
      <c r="V96" s="88"/>
      <c r="W96" s="87"/>
      <c r="X96" s="87"/>
      <c r="Y96" s="86"/>
      <c r="Z96" s="88"/>
      <c r="AA96" s="87"/>
      <c r="AB96" s="87"/>
      <c r="AC96" s="86"/>
      <c r="AD96" s="88"/>
      <c r="AE96" s="87"/>
      <c r="AF96" s="87"/>
      <c r="AG96" s="86"/>
      <c r="AH96" s="88"/>
      <c r="AI96" s="87"/>
      <c r="AJ96" s="87"/>
      <c r="AK96" s="86"/>
      <c r="AL96" s="88"/>
      <c r="AM96" s="87"/>
      <c r="AN96" s="87"/>
      <c r="AO96" s="86"/>
      <c r="AP96" s="88"/>
      <c r="AQ96" s="87"/>
      <c r="AR96" s="87"/>
      <c r="AS96" s="86"/>
      <c r="AT96" s="88"/>
      <c r="AU96" s="87"/>
      <c r="AV96" s="87"/>
      <c r="AW96" s="86"/>
      <c r="AX96" s="88"/>
      <c r="AY96" s="87"/>
      <c r="AZ96" s="87"/>
      <c r="BA96" s="86"/>
      <c r="BB96" s="88"/>
      <c r="BC96" s="87"/>
      <c r="BD96" s="87"/>
      <c r="BE96" s="86"/>
      <c r="BF96" s="88"/>
      <c r="BG96" s="87"/>
      <c r="BH96" s="87"/>
      <c r="BI96" s="86"/>
    </row>
    <row r="97" spans="1:61" ht="16" customHeight="1" x14ac:dyDescent="0.15">
      <c r="A97" s="84" t="s">
        <v>47</v>
      </c>
      <c r="B97" s="83">
        <v>9.5</v>
      </c>
      <c r="C97" s="82">
        <v>26581753</v>
      </c>
      <c r="D97" s="82">
        <v>20551609</v>
      </c>
      <c r="E97" s="81">
        <v>0.83637337016615099</v>
      </c>
      <c r="F97" s="83">
        <v>9.5</v>
      </c>
      <c r="G97" s="82">
        <v>24244345</v>
      </c>
      <c r="H97" s="82">
        <v>19318510</v>
      </c>
      <c r="I97" s="81">
        <v>0.84144297344628904</v>
      </c>
      <c r="J97" s="83">
        <v>8.8000000000000007</v>
      </c>
      <c r="K97" s="82">
        <v>28288100</v>
      </c>
      <c r="L97" s="82">
        <v>22601699</v>
      </c>
      <c r="M97" s="81">
        <v>0.83911763686000795</v>
      </c>
      <c r="N97" s="83">
        <v>8.6</v>
      </c>
      <c r="O97" s="82">
        <v>42540784</v>
      </c>
      <c r="P97" s="82">
        <v>20290647</v>
      </c>
      <c r="Q97" s="81">
        <v>0.80869030185664803</v>
      </c>
      <c r="R97" s="83">
        <v>8.8000000000000007</v>
      </c>
      <c r="S97" s="82">
        <v>31905605</v>
      </c>
      <c r="T97" s="82">
        <v>23636383</v>
      </c>
      <c r="U97" s="81">
        <v>0.81051537154391695</v>
      </c>
      <c r="V97" s="83">
        <v>8.8000000000000007</v>
      </c>
      <c r="W97" s="82">
        <v>29645315</v>
      </c>
      <c r="X97" s="82">
        <v>21190669</v>
      </c>
      <c r="Y97" s="81">
        <v>0.79546873420444697</v>
      </c>
      <c r="Z97" s="83">
        <v>8.9</v>
      </c>
      <c r="AA97" s="82">
        <v>30221223</v>
      </c>
      <c r="AB97" s="82">
        <v>21946937</v>
      </c>
      <c r="AC97" s="81">
        <v>0.83072531192127397</v>
      </c>
      <c r="AD97" s="83">
        <v>9</v>
      </c>
      <c r="AE97" s="82">
        <v>23862762</v>
      </c>
      <c r="AF97" s="82">
        <v>19040845</v>
      </c>
      <c r="AG97" s="81">
        <v>0.83397254521286202</v>
      </c>
      <c r="AH97" s="83">
        <v>8.1999999999999993</v>
      </c>
      <c r="AI97" s="82">
        <v>25450678</v>
      </c>
      <c r="AJ97" s="82">
        <v>19707466</v>
      </c>
      <c r="AK97" s="81">
        <v>0.81101130351912198</v>
      </c>
      <c r="AL97" s="83">
        <v>8.8000000000000007</v>
      </c>
      <c r="AM97" s="82">
        <v>22409210</v>
      </c>
      <c r="AN97" s="82">
        <v>17684839</v>
      </c>
      <c r="AO97" s="81">
        <v>0.82989160207750201</v>
      </c>
      <c r="AP97" s="83">
        <v>8.8000000000000007</v>
      </c>
      <c r="AQ97" s="82">
        <v>28033283</v>
      </c>
      <c r="AR97" s="82">
        <v>21411937</v>
      </c>
      <c r="AS97" s="81">
        <v>0.81049050793663802</v>
      </c>
      <c r="AT97" s="83">
        <v>9.1</v>
      </c>
      <c r="AU97" s="82">
        <v>31597136</v>
      </c>
      <c r="AV97" s="82">
        <v>24045326</v>
      </c>
      <c r="AW97" s="81">
        <v>0.82075174994052202</v>
      </c>
      <c r="AX97" s="83">
        <v>9.3000000000000007</v>
      </c>
      <c r="AY97" s="82">
        <v>25145417</v>
      </c>
      <c r="AZ97" s="82">
        <v>18903086</v>
      </c>
      <c r="BA97" s="81">
        <v>0.80905976751503905</v>
      </c>
      <c r="BB97" s="83">
        <v>9</v>
      </c>
      <c r="BC97" s="82">
        <v>32429308</v>
      </c>
      <c r="BD97" s="82">
        <v>25107812</v>
      </c>
      <c r="BE97" s="81">
        <v>0.81800239049533296</v>
      </c>
      <c r="BF97" s="83">
        <v>8.4</v>
      </c>
      <c r="BG97" s="82">
        <v>23353122</v>
      </c>
      <c r="BH97" s="82">
        <v>18026051</v>
      </c>
      <c r="BI97" s="81">
        <v>0.81232373546368897</v>
      </c>
    </row>
    <row r="98" spans="1:61" ht="16" customHeight="1" x14ac:dyDescent="0.15">
      <c r="A98" s="58" t="s">
        <v>51</v>
      </c>
      <c r="B98" s="77">
        <v>9.4</v>
      </c>
      <c r="C98" s="76">
        <v>23492953</v>
      </c>
      <c r="D98" s="76">
        <v>17207802</v>
      </c>
      <c r="E98" s="75">
        <v>0.83242273552215795</v>
      </c>
      <c r="F98" s="77">
        <v>8.9</v>
      </c>
      <c r="G98" s="76">
        <v>28760658</v>
      </c>
      <c r="H98" s="76">
        <v>22987268</v>
      </c>
      <c r="I98" s="75">
        <v>0.83875939055118498</v>
      </c>
      <c r="J98" s="77">
        <v>9.6999999999999993</v>
      </c>
      <c r="K98" s="76">
        <v>23312942</v>
      </c>
      <c r="L98" s="76">
        <v>17712164</v>
      </c>
      <c r="M98" s="75">
        <v>0.83812355564380003</v>
      </c>
      <c r="N98" s="77">
        <v>9.3000000000000007</v>
      </c>
      <c r="O98" s="76">
        <v>30289870</v>
      </c>
      <c r="P98" s="76">
        <v>22510463</v>
      </c>
      <c r="Q98" s="75">
        <v>0.82833739508371396</v>
      </c>
      <c r="R98" s="77">
        <v>8.8000000000000007</v>
      </c>
      <c r="S98" s="76">
        <v>30626011</v>
      </c>
      <c r="T98" s="76">
        <v>21255317</v>
      </c>
      <c r="U98" s="75">
        <v>0.789280010611211</v>
      </c>
      <c r="V98" s="77">
        <v>9</v>
      </c>
      <c r="W98" s="76">
        <v>61955407</v>
      </c>
      <c r="X98" s="76">
        <v>28536604</v>
      </c>
      <c r="Y98" s="75">
        <v>0.816706292892736</v>
      </c>
      <c r="Z98" s="77" t="s">
        <v>22</v>
      </c>
      <c r="AA98" s="76" t="s">
        <v>22</v>
      </c>
      <c r="AB98" s="76" t="s">
        <v>22</v>
      </c>
      <c r="AC98" s="75" t="s">
        <v>22</v>
      </c>
      <c r="AD98" s="77">
        <v>9.1</v>
      </c>
      <c r="AE98" s="76">
        <v>29872630</v>
      </c>
      <c r="AF98" s="76">
        <v>21624345</v>
      </c>
      <c r="AG98" s="75">
        <v>0.83023414655871397</v>
      </c>
      <c r="AH98" s="77">
        <v>8.1</v>
      </c>
      <c r="AI98" s="76">
        <v>23580311</v>
      </c>
      <c r="AJ98" s="76">
        <v>17879181</v>
      </c>
      <c r="AK98" s="75">
        <v>0.79035986450100504</v>
      </c>
      <c r="AL98" s="77">
        <v>9.1999999999999993</v>
      </c>
      <c r="AM98" s="76">
        <v>21511551</v>
      </c>
      <c r="AN98" s="76">
        <v>16611262</v>
      </c>
      <c r="AO98" s="75">
        <v>0.815793244880758</v>
      </c>
      <c r="AP98" s="77">
        <v>8.9</v>
      </c>
      <c r="AQ98" s="76">
        <v>24908020</v>
      </c>
      <c r="AR98" s="76">
        <v>19179145</v>
      </c>
      <c r="AS98" s="75">
        <v>0.81423458430898299</v>
      </c>
      <c r="AT98" s="77">
        <v>9.1999999999999993</v>
      </c>
      <c r="AU98" s="76">
        <v>26193166</v>
      </c>
      <c r="AV98" s="76">
        <v>20401290</v>
      </c>
      <c r="AW98" s="75">
        <v>0.81686716017271599</v>
      </c>
      <c r="AX98" s="77">
        <v>9.5</v>
      </c>
      <c r="AY98" s="76">
        <v>41796202</v>
      </c>
      <c r="AZ98" s="76">
        <v>30817939</v>
      </c>
      <c r="BA98" s="75">
        <v>0.77604859688483996</v>
      </c>
      <c r="BB98" s="77">
        <v>9.3000000000000007</v>
      </c>
      <c r="BC98" s="76">
        <v>38846300</v>
      </c>
      <c r="BD98" s="76">
        <v>30597959</v>
      </c>
      <c r="BE98" s="75">
        <v>0.82506787579710605</v>
      </c>
      <c r="BF98" s="77">
        <v>8.6</v>
      </c>
      <c r="BG98" s="76">
        <v>22170347</v>
      </c>
      <c r="BH98" s="76">
        <v>16902037</v>
      </c>
      <c r="BI98" s="75">
        <v>0.80398780311979101</v>
      </c>
    </row>
    <row r="99" spans="1:61" ht="16" customHeight="1" x14ac:dyDescent="0.15">
      <c r="A99" s="58" t="s">
        <v>56</v>
      </c>
      <c r="B99" s="77">
        <v>9.5</v>
      </c>
      <c r="C99" s="76">
        <v>24131369</v>
      </c>
      <c r="D99" s="76">
        <v>19455334</v>
      </c>
      <c r="E99" s="75">
        <v>0.84581267094752299</v>
      </c>
      <c r="F99" s="77">
        <v>9.4</v>
      </c>
      <c r="G99" s="76">
        <v>27114685</v>
      </c>
      <c r="H99" s="76">
        <v>21689593</v>
      </c>
      <c r="I99" s="75">
        <v>0.84173919543047704</v>
      </c>
      <c r="J99" s="77">
        <v>8.3000000000000007</v>
      </c>
      <c r="K99" s="76">
        <v>30092731</v>
      </c>
      <c r="L99" s="76">
        <v>23743575</v>
      </c>
      <c r="M99" s="75">
        <v>0.833389258647253</v>
      </c>
      <c r="N99" s="77">
        <v>9</v>
      </c>
      <c r="O99" s="76">
        <v>31625600</v>
      </c>
      <c r="P99" s="76">
        <v>24080040</v>
      </c>
      <c r="Q99" s="75">
        <v>0.82832312762735505</v>
      </c>
      <c r="R99" s="77">
        <v>8.8000000000000007</v>
      </c>
      <c r="S99" s="76">
        <v>55765768</v>
      </c>
      <c r="T99" s="76">
        <v>25848769</v>
      </c>
      <c r="U99" s="75">
        <v>0.81598616703416704</v>
      </c>
      <c r="V99" s="77" t="s">
        <v>22</v>
      </c>
      <c r="W99" s="76" t="s">
        <v>22</v>
      </c>
      <c r="X99" s="76" t="s">
        <v>22</v>
      </c>
      <c r="Y99" s="75" t="s">
        <v>22</v>
      </c>
      <c r="Z99" s="77">
        <v>9</v>
      </c>
      <c r="AA99" s="76">
        <v>28353200</v>
      </c>
      <c r="AB99" s="76">
        <v>22139260</v>
      </c>
      <c r="AC99" s="75">
        <v>0.81826336165429803</v>
      </c>
      <c r="AD99" s="77">
        <v>9</v>
      </c>
      <c r="AE99" s="76">
        <v>29031833</v>
      </c>
      <c r="AF99" s="76">
        <v>21224613</v>
      </c>
      <c r="AG99" s="75">
        <v>0.83462168239205203</v>
      </c>
      <c r="AH99" s="77">
        <v>8.6999999999999993</v>
      </c>
      <c r="AI99" s="76">
        <v>25282059</v>
      </c>
      <c r="AJ99" s="76">
        <v>16490898</v>
      </c>
      <c r="AK99" s="75">
        <v>0.816204675761665</v>
      </c>
      <c r="AL99" s="77">
        <v>9.3000000000000007</v>
      </c>
      <c r="AM99" s="76">
        <v>25439374</v>
      </c>
      <c r="AN99" s="76">
        <v>19566855</v>
      </c>
      <c r="AO99" s="75">
        <v>0.81153686570502004</v>
      </c>
      <c r="AP99" s="77">
        <v>8.9</v>
      </c>
      <c r="AQ99" s="76">
        <v>36396224</v>
      </c>
      <c r="AR99" s="76">
        <v>28522040</v>
      </c>
      <c r="AS99" s="75">
        <v>0.82279647885603202</v>
      </c>
      <c r="AT99" s="77">
        <v>9.4</v>
      </c>
      <c r="AU99" s="76">
        <v>36546640</v>
      </c>
      <c r="AV99" s="76">
        <v>27641964</v>
      </c>
      <c r="AW99" s="75">
        <v>0.79667350765755196</v>
      </c>
      <c r="AX99" s="77">
        <v>9.6</v>
      </c>
      <c r="AY99" s="76">
        <v>35546360</v>
      </c>
      <c r="AZ99" s="76">
        <v>27433493</v>
      </c>
      <c r="BA99" s="75">
        <v>0.81335121391072696</v>
      </c>
      <c r="BB99" s="77">
        <v>9.4</v>
      </c>
      <c r="BC99" s="76">
        <v>22749815</v>
      </c>
      <c r="BD99" s="76">
        <v>17697032</v>
      </c>
      <c r="BE99" s="75">
        <v>0.81646306183751904</v>
      </c>
      <c r="BF99" s="77">
        <v>9.4</v>
      </c>
      <c r="BG99" s="76">
        <v>22759236</v>
      </c>
      <c r="BH99" s="76">
        <v>17649001</v>
      </c>
      <c r="BI99" s="75">
        <v>0.80730386505909102</v>
      </c>
    </row>
    <row r="100" spans="1:61" ht="16" customHeight="1" x14ac:dyDescent="0.15">
      <c r="A100" s="58" t="s">
        <v>59</v>
      </c>
      <c r="B100" s="77">
        <v>9.1</v>
      </c>
      <c r="C100" s="76">
        <v>33052831</v>
      </c>
      <c r="D100" s="76">
        <v>26594913</v>
      </c>
      <c r="E100" s="75">
        <v>0.84314476048729503</v>
      </c>
      <c r="F100" s="77">
        <v>9.5</v>
      </c>
      <c r="G100" s="76">
        <v>31909493</v>
      </c>
      <c r="H100" s="76">
        <v>25776923</v>
      </c>
      <c r="I100" s="75">
        <v>0.84461836222908604</v>
      </c>
      <c r="J100" s="77">
        <v>8.6999999999999993</v>
      </c>
      <c r="K100" s="76">
        <v>23771197</v>
      </c>
      <c r="L100" s="76">
        <v>18790586</v>
      </c>
      <c r="M100" s="75">
        <v>0.83923396005495998</v>
      </c>
      <c r="N100" s="77">
        <v>9.4</v>
      </c>
      <c r="O100" s="76">
        <v>24260923</v>
      </c>
      <c r="P100" s="76">
        <v>18569422</v>
      </c>
      <c r="Q100" s="75">
        <v>0.83422049327101799</v>
      </c>
      <c r="R100" s="77" t="s">
        <v>22</v>
      </c>
      <c r="S100" s="76" t="s">
        <v>22</v>
      </c>
      <c r="T100" s="76" t="s">
        <v>22</v>
      </c>
      <c r="U100" s="75" t="s">
        <v>22</v>
      </c>
      <c r="V100" s="77">
        <v>9.3000000000000007</v>
      </c>
      <c r="W100" s="76">
        <v>33397005</v>
      </c>
      <c r="X100" s="76">
        <v>23808663</v>
      </c>
      <c r="Y100" s="75">
        <v>0.80813367559936999</v>
      </c>
      <c r="Z100" s="77" t="s">
        <v>22</v>
      </c>
      <c r="AA100" s="76" t="s">
        <v>22</v>
      </c>
      <c r="AB100" s="76" t="s">
        <v>22</v>
      </c>
      <c r="AC100" s="75" t="s">
        <v>22</v>
      </c>
      <c r="AD100" s="77">
        <v>8.9</v>
      </c>
      <c r="AE100" s="76">
        <v>25835686</v>
      </c>
      <c r="AF100" s="76">
        <v>19701644</v>
      </c>
      <c r="AG100" s="75">
        <v>0.82977975060755205</v>
      </c>
      <c r="AH100" s="77">
        <v>8.3000000000000007</v>
      </c>
      <c r="AI100" s="76">
        <v>27508160</v>
      </c>
      <c r="AJ100" s="76">
        <v>18018516</v>
      </c>
      <c r="AK100" s="75">
        <v>0.81712831113874795</v>
      </c>
      <c r="AL100" s="77" t="s">
        <v>22</v>
      </c>
      <c r="AM100" s="76">
        <v>22743333</v>
      </c>
      <c r="AN100" s="76">
        <v>17985427</v>
      </c>
      <c r="AO100" s="75">
        <v>0.82458433523185704</v>
      </c>
      <c r="AP100" s="77">
        <v>9</v>
      </c>
      <c r="AQ100" s="76">
        <v>24573131</v>
      </c>
      <c r="AR100" s="76">
        <v>19217257</v>
      </c>
      <c r="AS100" s="75">
        <v>0.82193063993867399</v>
      </c>
      <c r="AT100" s="77">
        <v>9.3000000000000007</v>
      </c>
      <c r="AU100" s="76">
        <v>30242428</v>
      </c>
      <c r="AV100" s="76">
        <v>22248153</v>
      </c>
      <c r="AW100" s="75">
        <v>0.81627565712343497</v>
      </c>
      <c r="AX100" s="77">
        <v>9.6</v>
      </c>
      <c r="AY100" s="76">
        <v>39367943</v>
      </c>
      <c r="AZ100" s="76">
        <v>30535732</v>
      </c>
      <c r="BA100" s="75">
        <v>0.81804117015311895</v>
      </c>
      <c r="BB100" s="77">
        <v>9.1999999999999993</v>
      </c>
      <c r="BC100" s="76">
        <v>36055587</v>
      </c>
      <c r="BD100" s="76">
        <v>28290114</v>
      </c>
      <c r="BE100" s="75">
        <v>0.82426115075308604</v>
      </c>
      <c r="BF100" s="77">
        <v>9.3000000000000007</v>
      </c>
      <c r="BG100" s="76">
        <v>24251897</v>
      </c>
      <c r="BH100" s="76">
        <v>18691068</v>
      </c>
      <c r="BI100" s="75">
        <v>0.80775975511886899</v>
      </c>
    </row>
    <row r="101" spans="1:61" ht="16" customHeight="1" x14ac:dyDescent="0.15">
      <c r="A101" s="58" t="s">
        <v>54</v>
      </c>
      <c r="B101" s="77">
        <v>9.5</v>
      </c>
      <c r="C101" s="76">
        <v>23636737</v>
      </c>
      <c r="D101" s="76">
        <v>19065718</v>
      </c>
      <c r="E101" s="75">
        <v>0.84785681298335003</v>
      </c>
      <c r="F101" s="77">
        <v>9.3000000000000007</v>
      </c>
      <c r="G101" s="76">
        <v>34185902</v>
      </c>
      <c r="H101" s="76">
        <v>27747161</v>
      </c>
      <c r="I101" s="75">
        <v>0.85029610646195897</v>
      </c>
      <c r="J101" s="77">
        <v>8.9</v>
      </c>
      <c r="K101" s="76">
        <v>22197767</v>
      </c>
      <c r="L101" s="76">
        <v>17794993</v>
      </c>
      <c r="M101" s="75">
        <v>0.84346481356813297</v>
      </c>
      <c r="N101" s="77">
        <v>9.1</v>
      </c>
      <c r="O101" s="76">
        <v>36097744</v>
      </c>
      <c r="P101" s="76">
        <v>27367215</v>
      </c>
      <c r="Q101" s="75">
        <v>0.82725396974953103</v>
      </c>
      <c r="R101" s="77">
        <v>8.6999999999999993</v>
      </c>
      <c r="S101" s="76">
        <v>37376646</v>
      </c>
      <c r="T101" s="76">
        <v>26575209</v>
      </c>
      <c r="U101" s="75">
        <v>0.81113894549775201</v>
      </c>
      <c r="V101" s="77" t="s">
        <v>22</v>
      </c>
      <c r="W101" s="76" t="s">
        <v>22</v>
      </c>
      <c r="X101" s="76" t="s">
        <v>22</v>
      </c>
      <c r="Y101" s="75" t="s">
        <v>22</v>
      </c>
      <c r="Z101" s="77">
        <v>9</v>
      </c>
      <c r="AA101" s="76">
        <v>51312752</v>
      </c>
      <c r="AB101" s="76">
        <v>40814480</v>
      </c>
      <c r="AC101" s="75">
        <v>0.82712756832562995</v>
      </c>
      <c r="AD101" s="77">
        <v>9</v>
      </c>
      <c r="AE101" s="76">
        <v>27870719</v>
      </c>
      <c r="AF101" s="76">
        <v>20307505</v>
      </c>
      <c r="AG101" s="75">
        <v>0.82983118032224001</v>
      </c>
      <c r="AH101" s="77">
        <v>9.1999999999999993</v>
      </c>
      <c r="AI101" s="76">
        <v>38287502</v>
      </c>
      <c r="AJ101" s="76">
        <v>25458110</v>
      </c>
      <c r="AK101" s="75">
        <v>0.80866224787503105</v>
      </c>
      <c r="AL101" s="77">
        <v>8.6</v>
      </c>
      <c r="AM101" s="76">
        <v>23860791</v>
      </c>
      <c r="AN101" s="76">
        <v>18889357</v>
      </c>
      <c r="AO101" s="75">
        <v>0.82764127658088504</v>
      </c>
      <c r="AP101" s="77">
        <v>9.1</v>
      </c>
      <c r="AQ101" s="76">
        <v>24842534</v>
      </c>
      <c r="AR101" s="76">
        <v>19480363</v>
      </c>
      <c r="AS101" s="75">
        <v>0.82395623334327195</v>
      </c>
      <c r="AT101" s="77">
        <v>9.1999999999999993</v>
      </c>
      <c r="AU101" s="76">
        <v>23385669</v>
      </c>
      <c r="AV101" s="76">
        <v>18154604</v>
      </c>
      <c r="AW101" s="75">
        <v>0.819321553559616</v>
      </c>
      <c r="AX101" s="77">
        <v>9.6</v>
      </c>
      <c r="AY101" s="76">
        <v>36960356</v>
      </c>
      <c r="AZ101" s="76">
        <v>28962662</v>
      </c>
      <c r="BA101" s="75">
        <v>0.82542994577828399</v>
      </c>
      <c r="BB101" s="77">
        <v>9.5</v>
      </c>
      <c r="BC101" s="76">
        <v>33228431</v>
      </c>
      <c r="BD101" s="76">
        <v>25925809</v>
      </c>
      <c r="BE101" s="75">
        <v>0.82105603354427803</v>
      </c>
      <c r="BF101" s="77">
        <v>9.1</v>
      </c>
      <c r="BG101" s="76">
        <v>25877115</v>
      </c>
      <c r="BH101" s="76">
        <v>20227679</v>
      </c>
      <c r="BI101" s="75">
        <v>0.815687967383255</v>
      </c>
    </row>
    <row r="102" spans="1:61" ht="16" customHeight="1" x14ac:dyDescent="0.15">
      <c r="A102" s="58" t="s">
        <v>49</v>
      </c>
      <c r="B102" s="77">
        <v>9.6</v>
      </c>
      <c r="C102" s="76">
        <v>26187365</v>
      </c>
      <c r="D102" s="76">
        <v>20314734</v>
      </c>
      <c r="E102" s="75">
        <v>0.83919322876417801</v>
      </c>
      <c r="F102" s="77">
        <v>9.9</v>
      </c>
      <c r="G102" s="76">
        <v>34559155</v>
      </c>
      <c r="H102" s="76">
        <v>27011244</v>
      </c>
      <c r="I102" s="75">
        <v>0.82548168121695797</v>
      </c>
      <c r="J102" s="77">
        <v>8.6999999999999993</v>
      </c>
      <c r="K102" s="76">
        <v>39682018</v>
      </c>
      <c r="L102" s="76">
        <v>27913781</v>
      </c>
      <c r="M102" s="75">
        <v>0.84402999211569296</v>
      </c>
      <c r="N102" s="77">
        <v>8.9</v>
      </c>
      <c r="O102" s="76">
        <v>33836955</v>
      </c>
      <c r="P102" s="76">
        <v>18711086</v>
      </c>
      <c r="Q102" s="75">
        <v>0.80687124617502304</v>
      </c>
      <c r="R102" s="77">
        <v>8.6999999999999993</v>
      </c>
      <c r="S102" s="76">
        <v>23828654</v>
      </c>
      <c r="T102" s="76">
        <v>17892574</v>
      </c>
      <c r="U102" s="75">
        <v>0.79710100120015703</v>
      </c>
      <c r="V102" s="77">
        <v>9.1999999999999993</v>
      </c>
      <c r="W102" s="76">
        <v>26367604</v>
      </c>
      <c r="X102" s="76">
        <v>18972371</v>
      </c>
      <c r="Y102" s="75">
        <v>0.80354946592662402</v>
      </c>
      <c r="Z102" s="77">
        <v>8.8000000000000007</v>
      </c>
      <c r="AA102" s="76">
        <v>29196145</v>
      </c>
      <c r="AB102" s="76">
        <v>21052280</v>
      </c>
      <c r="AC102" s="75">
        <v>0.82843569676115103</v>
      </c>
      <c r="AD102" s="77">
        <v>9.1</v>
      </c>
      <c r="AE102" s="76">
        <v>23277750</v>
      </c>
      <c r="AF102" s="76">
        <v>17515048</v>
      </c>
      <c r="AG102" s="75">
        <v>0.828579504504664</v>
      </c>
      <c r="AH102" s="77">
        <v>8.8000000000000007</v>
      </c>
      <c r="AI102" s="76">
        <v>27102577</v>
      </c>
      <c r="AJ102" s="76">
        <v>20409078</v>
      </c>
      <c r="AK102" s="75">
        <v>0.78350444778829897</v>
      </c>
      <c r="AL102" s="77">
        <v>8.6</v>
      </c>
      <c r="AM102" s="76">
        <v>22842874</v>
      </c>
      <c r="AN102" s="76">
        <v>17616574</v>
      </c>
      <c r="AO102" s="75">
        <v>0.82003957623359203</v>
      </c>
      <c r="AP102" s="77">
        <v>8.6999999999999993</v>
      </c>
      <c r="AQ102" s="76">
        <v>25952108</v>
      </c>
      <c r="AR102" s="76">
        <v>17614951</v>
      </c>
      <c r="AS102" s="75">
        <v>0.80145598317788602</v>
      </c>
      <c r="AT102" s="77">
        <v>9</v>
      </c>
      <c r="AU102" s="76">
        <v>26087132</v>
      </c>
      <c r="AV102" s="76">
        <v>19774444</v>
      </c>
      <c r="AW102" s="75">
        <v>0.82439779122717705</v>
      </c>
      <c r="AX102" s="77">
        <v>9.1999999999999993</v>
      </c>
      <c r="AY102" s="76">
        <v>25815088</v>
      </c>
      <c r="AZ102" s="76">
        <v>19409926</v>
      </c>
      <c r="BA102" s="75">
        <v>0.81095206427778499</v>
      </c>
      <c r="BB102" s="77">
        <v>9.1999999999999993</v>
      </c>
      <c r="BC102" s="76">
        <v>40133053</v>
      </c>
      <c r="BD102" s="76">
        <v>31082240</v>
      </c>
      <c r="BE102" s="75">
        <v>0.82019519133210095</v>
      </c>
      <c r="BF102" s="77">
        <v>7.5</v>
      </c>
      <c r="BG102" s="76">
        <v>24309140</v>
      </c>
      <c r="BH102" s="76">
        <v>18687839</v>
      </c>
      <c r="BI102" s="75">
        <v>0.80882151940820501</v>
      </c>
    </row>
    <row r="103" spans="1:61" ht="16" customHeight="1" x14ac:dyDescent="0.15">
      <c r="A103" s="58" t="s">
        <v>53</v>
      </c>
      <c r="B103" s="77">
        <v>9.6</v>
      </c>
      <c r="C103" s="76">
        <v>28512712</v>
      </c>
      <c r="D103" s="76">
        <v>20900834</v>
      </c>
      <c r="E103" s="75">
        <v>0.83877195041811503</v>
      </c>
      <c r="F103" s="77">
        <v>9.3000000000000007</v>
      </c>
      <c r="G103" s="76">
        <v>30393308</v>
      </c>
      <c r="H103" s="76">
        <v>24542696</v>
      </c>
      <c r="I103" s="75">
        <v>0.84696882140877106</v>
      </c>
      <c r="J103" s="77">
        <v>9.1</v>
      </c>
      <c r="K103" s="76">
        <v>32897533</v>
      </c>
      <c r="L103" s="76">
        <v>26394015</v>
      </c>
      <c r="M103" s="75">
        <v>0.84559559447316401</v>
      </c>
      <c r="N103" s="77">
        <v>9.6999999999999993</v>
      </c>
      <c r="O103" s="76">
        <v>26913599</v>
      </c>
      <c r="P103" s="76">
        <v>20523315</v>
      </c>
      <c r="Q103" s="75">
        <v>0.83059615434581302</v>
      </c>
      <c r="R103" s="77">
        <v>8.5</v>
      </c>
      <c r="S103" s="76">
        <v>31186798</v>
      </c>
      <c r="T103" s="76">
        <v>22432170</v>
      </c>
      <c r="U103" s="75">
        <v>0.81782564951150105</v>
      </c>
      <c r="V103" s="77">
        <v>9.1999999999999993</v>
      </c>
      <c r="W103" s="76">
        <v>32926122</v>
      </c>
      <c r="X103" s="76">
        <v>23752494</v>
      </c>
      <c r="Y103" s="75">
        <v>0.81575723635493902</v>
      </c>
      <c r="Z103" s="77" t="s">
        <v>22</v>
      </c>
      <c r="AA103" s="76" t="s">
        <v>22</v>
      </c>
      <c r="AB103" s="76" t="s">
        <v>22</v>
      </c>
      <c r="AC103" s="75" t="s">
        <v>22</v>
      </c>
      <c r="AD103" s="77">
        <v>9.1999999999999993</v>
      </c>
      <c r="AE103" s="76">
        <v>28486120</v>
      </c>
      <c r="AF103" s="76">
        <v>20577926</v>
      </c>
      <c r="AG103" s="75">
        <v>0.82825727088368595</v>
      </c>
      <c r="AH103" s="77">
        <v>8.8000000000000007</v>
      </c>
      <c r="AI103" s="76">
        <v>41780452</v>
      </c>
      <c r="AJ103" s="76">
        <v>30895188</v>
      </c>
      <c r="AK103" s="75">
        <v>0.816937492776315</v>
      </c>
      <c r="AL103" s="77">
        <v>8.3000000000000007</v>
      </c>
      <c r="AM103" s="76">
        <v>23089143</v>
      </c>
      <c r="AN103" s="76">
        <v>18107058</v>
      </c>
      <c r="AO103" s="75">
        <v>0.82366812581052495</v>
      </c>
      <c r="AP103" s="77">
        <v>9</v>
      </c>
      <c r="AQ103" s="76">
        <v>40805771</v>
      </c>
      <c r="AR103" s="76">
        <v>30903711</v>
      </c>
      <c r="AS103" s="75">
        <v>0.82279825857156297</v>
      </c>
      <c r="AT103" s="77">
        <v>9.3000000000000007</v>
      </c>
      <c r="AU103" s="76">
        <v>29363893</v>
      </c>
      <c r="AV103" s="76">
        <v>22781230</v>
      </c>
      <c r="AW103" s="75">
        <v>0.81533218465267598</v>
      </c>
      <c r="AX103" s="77">
        <v>9.6999999999999993</v>
      </c>
      <c r="AY103" s="76">
        <v>43707378</v>
      </c>
      <c r="AZ103" s="76">
        <v>33641100</v>
      </c>
      <c r="BA103" s="75">
        <v>0.80832734476225299</v>
      </c>
      <c r="BB103" s="77">
        <v>9.3000000000000007</v>
      </c>
      <c r="BC103" s="76">
        <v>21954143</v>
      </c>
      <c r="BD103" s="76">
        <v>17015655</v>
      </c>
      <c r="BE103" s="75">
        <v>0.82289571925958405</v>
      </c>
      <c r="BF103" s="77">
        <v>9.6</v>
      </c>
      <c r="BG103" s="76">
        <v>30542051</v>
      </c>
      <c r="BH103" s="76">
        <v>22604489</v>
      </c>
      <c r="BI103" s="75">
        <v>0.79880768764029797</v>
      </c>
    </row>
    <row r="104" spans="1:61" ht="16" customHeight="1" x14ac:dyDescent="0.15">
      <c r="A104" s="58" t="s">
        <v>50</v>
      </c>
      <c r="B104" s="77">
        <v>9.6999999999999993</v>
      </c>
      <c r="C104" s="76">
        <v>37362665</v>
      </c>
      <c r="D104" s="76">
        <v>29043729</v>
      </c>
      <c r="E104" s="75">
        <v>0.84058434296624296</v>
      </c>
      <c r="F104" s="77">
        <v>9.6</v>
      </c>
      <c r="G104" s="76">
        <v>32297663</v>
      </c>
      <c r="H104" s="76">
        <v>25618513</v>
      </c>
      <c r="I104" s="75">
        <v>0.83522042051844203</v>
      </c>
      <c r="J104" s="77">
        <v>7.4</v>
      </c>
      <c r="K104" s="76">
        <v>24868823</v>
      </c>
      <c r="L104" s="76">
        <v>19694285</v>
      </c>
      <c r="M104" s="75">
        <v>0.83419777630675396</v>
      </c>
      <c r="N104" s="77">
        <v>9.1999999999999993</v>
      </c>
      <c r="O104" s="76">
        <v>30301859</v>
      </c>
      <c r="P104" s="76">
        <v>17217619</v>
      </c>
      <c r="Q104" s="75">
        <v>0.81090640977818995</v>
      </c>
      <c r="R104" s="77">
        <v>8.8000000000000007</v>
      </c>
      <c r="S104" s="76">
        <v>23470001</v>
      </c>
      <c r="T104" s="76">
        <v>18021554</v>
      </c>
      <c r="U104" s="75">
        <v>0.806016226811477</v>
      </c>
      <c r="V104" s="77">
        <v>8</v>
      </c>
      <c r="W104" s="76">
        <v>38635319</v>
      </c>
      <c r="X104" s="76">
        <v>27714447</v>
      </c>
      <c r="Y104" s="75">
        <v>0.80442442552384696</v>
      </c>
      <c r="Z104" s="77">
        <v>8.5</v>
      </c>
      <c r="AA104" s="76">
        <v>29367043</v>
      </c>
      <c r="AB104" s="76">
        <v>21264217</v>
      </c>
      <c r="AC104" s="75">
        <v>0.82955363104683599</v>
      </c>
      <c r="AD104" s="77">
        <v>9.1</v>
      </c>
      <c r="AE104" s="76">
        <v>21322239</v>
      </c>
      <c r="AF104" s="76">
        <v>16898756</v>
      </c>
      <c r="AG104" s="75">
        <v>0.83052511628944803</v>
      </c>
      <c r="AH104" s="77">
        <v>5.9</v>
      </c>
      <c r="AI104" s="76">
        <v>28930811</v>
      </c>
      <c r="AJ104" s="76">
        <v>19256297</v>
      </c>
      <c r="AK104" s="75">
        <v>0.70014231692920603</v>
      </c>
      <c r="AL104" s="77">
        <v>7.9</v>
      </c>
      <c r="AM104" s="76">
        <v>22747157</v>
      </c>
      <c r="AN104" s="76">
        <v>17262228</v>
      </c>
      <c r="AO104" s="75">
        <v>0.80396000260997103</v>
      </c>
      <c r="AP104" s="77">
        <v>8.9</v>
      </c>
      <c r="AQ104" s="76">
        <v>39413782</v>
      </c>
      <c r="AR104" s="76">
        <v>29424459</v>
      </c>
      <c r="AS104" s="75">
        <v>0.81882633939354799</v>
      </c>
      <c r="AT104" s="77">
        <v>8.6999999999999993</v>
      </c>
      <c r="AU104" s="76">
        <v>26494476</v>
      </c>
      <c r="AV104" s="76">
        <v>17228603</v>
      </c>
      <c r="AW104" s="75">
        <v>0.80465272706450996</v>
      </c>
      <c r="AX104" s="77">
        <v>9.1</v>
      </c>
      <c r="AY104" s="76">
        <v>24771175</v>
      </c>
      <c r="AZ104" s="76">
        <v>18693629</v>
      </c>
      <c r="BA104" s="75">
        <v>0.81341108886594604</v>
      </c>
      <c r="BB104" s="77">
        <v>9.1999999999999993</v>
      </c>
      <c r="BC104" s="76">
        <v>22726884</v>
      </c>
      <c r="BD104" s="76">
        <v>17639552</v>
      </c>
      <c r="BE104" s="75">
        <v>0.82305166847402</v>
      </c>
      <c r="BF104" s="77">
        <v>8.6</v>
      </c>
      <c r="BG104" s="76">
        <v>31328434</v>
      </c>
      <c r="BH104" s="76">
        <v>23190150</v>
      </c>
      <c r="BI104" s="75">
        <v>0.79866622569830903</v>
      </c>
    </row>
    <row r="105" spans="1:61" ht="16" customHeight="1" x14ac:dyDescent="0.15">
      <c r="A105" s="58" t="s">
        <v>60</v>
      </c>
      <c r="B105" s="77">
        <v>9.6</v>
      </c>
      <c r="C105" s="76">
        <v>30546384</v>
      </c>
      <c r="D105" s="76">
        <v>24428249</v>
      </c>
      <c r="E105" s="75">
        <v>0.84040101733311101</v>
      </c>
      <c r="F105" s="77">
        <v>9.4</v>
      </c>
      <c r="G105" s="76">
        <v>33279173</v>
      </c>
      <c r="H105" s="76">
        <v>26781655</v>
      </c>
      <c r="I105" s="75">
        <v>0.84238312381212999</v>
      </c>
      <c r="J105" s="77">
        <v>9.1999999999999993</v>
      </c>
      <c r="K105" s="76">
        <v>30836676</v>
      </c>
      <c r="L105" s="76">
        <v>24599763</v>
      </c>
      <c r="M105" s="75">
        <v>0.83932465649795696</v>
      </c>
      <c r="N105" s="77">
        <v>9.6999999999999993</v>
      </c>
      <c r="O105" s="76">
        <v>22586105</v>
      </c>
      <c r="P105" s="76">
        <v>17159495</v>
      </c>
      <c r="Q105" s="75">
        <v>0.82571004732959197</v>
      </c>
      <c r="R105" s="77" t="s">
        <v>22</v>
      </c>
      <c r="S105" s="76" t="s">
        <v>22</v>
      </c>
      <c r="T105" s="76" t="s">
        <v>22</v>
      </c>
      <c r="U105" s="75" t="s">
        <v>22</v>
      </c>
      <c r="V105" s="77">
        <v>8.9</v>
      </c>
      <c r="W105" s="76">
        <v>28313430</v>
      </c>
      <c r="X105" s="76">
        <v>20245109</v>
      </c>
      <c r="Y105" s="75">
        <v>0.81152371907312604</v>
      </c>
      <c r="Z105" s="77">
        <v>9</v>
      </c>
      <c r="AA105" s="76">
        <v>24057536</v>
      </c>
      <c r="AB105" s="76">
        <v>19255497</v>
      </c>
      <c r="AC105" s="75">
        <v>0.82938709466501803</v>
      </c>
      <c r="AD105" s="77">
        <v>9.1</v>
      </c>
      <c r="AE105" s="76">
        <v>26874550</v>
      </c>
      <c r="AF105" s="76">
        <v>19484080</v>
      </c>
      <c r="AG105" s="75">
        <v>0.82459162166043098</v>
      </c>
      <c r="AH105" s="77">
        <v>8.6999999999999993</v>
      </c>
      <c r="AI105" s="76">
        <v>35018331</v>
      </c>
      <c r="AJ105" s="76">
        <v>22780596</v>
      </c>
      <c r="AK105" s="75">
        <v>0.80588853501787705</v>
      </c>
      <c r="AL105" s="77">
        <v>8.8000000000000007</v>
      </c>
      <c r="AM105" s="76">
        <v>21183404</v>
      </c>
      <c r="AN105" s="76">
        <v>16438044</v>
      </c>
      <c r="AO105" s="75">
        <v>0.81766298536920401</v>
      </c>
      <c r="AP105" s="77">
        <v>9.6</v>
      </c>
      <c r="AQ105" s="76">
        <v>23801754</v>
      </c>
      <c r="AR105" s="76">
        <v>18269045</v>
      </c>
      <c r="AS105" s="75">
        <v>0.81256571585133097</v>
      </c>
      <c r="AT105" s="77">
        <v>9.1999999999999993</v>
      </c>
      <c r="AU105" s="76">
        <v>35155198</v>
      </c>
      <c r="AV105" s="76">
        <v>25926688</v>
      </c>
      <c r="AW105" s="75">
        <v>0.81120551527517104</v>
      </c>
      <c r="AX105" s="77">
        <v>9.1</v>
      </c>
      <c r="AY105" s="76">
        <v>35154465</v>
      </c>
      <c r="AZ105" s="76">
        <v>27359991</v>
      </c>
      <c r="BA105" s="75">
        <v>0.81786269509701004</v>
      </c>
      <c r="BB105" s="77">
        <v>9.1999999999999993</v>
      </c>
      <c r="BC105" s="76">
        <v>31930116</v>
      </c>
      <c r="BD105" s="76">
        <v>23935390</v>
      </c>
      <c r="BE105" s="75">
        <v>0.81584437699119805</v>
      </c>
      <c r="BF105" s="77">
        <v>7.5</v>
      </c>
      <c r="BG105" s="76">
        <v>23061839</v>
      </c>
      <c r="BH105" s="76">
        <v>17949354</v>
      </c>
      <c r="BI105" s="75">
        <v>0.81372535241469302</v>
      </c>
    </row>
    <row r="106" spans="1:61" ht="16" customHeight="1" x14ac:dyDescent="0.15">
      <c r="A106" s="58" t="s">
        <v>55</v>
      </c>
      <c r="B106" s="77">
        <v>9.5</v>
      </c>
      <c r="C106" s="76">
        <v>32157449</v>
      </c>
      <c r="D106" s="76">
        <v>23553696</v>
      </c>
      <c r="E106" s="75">
        <v>0.842114837429767</v>
      </c>
      <c r="F106" s="77">
        <v>9.5</v>
      </c>
      <c r="G106" s="76">
        <v>30841069</v>
      </c>
      <c r="H106" s="76">
        <v>24953662</v>
      </c>
      <c r="I106" s="75">
        <v>0.84501670940401497</v>
      </c>
      <c r="J106" s="77">
        <v>8.4</v>
      </c>
      <c r="K106" s="76">
        <v>27415511</v>
      </c>
      <c r="L106" s="76">
        <v>21822463</v>
      </c>
      <c r="M106" s="75">
        <v>0.84020370676673395</v>
      </c>
      <c r="N106" s="77">
        <v>9.8000000000000007</v>
      </c>
      <c r="O106" s="76">
        <v>33316514</v>
      </c>
      <c r="P106" s="76">
        <v>25589610</v>
      </c>
      <c r="Q106" s="75">
        <v>0.83197935489307895</v>
      </c>
      <c r="R106" s="77">
        <v>8.6</v>
      </c>
      <c r="S106" s="76">
        <v>50985880</v>
      </c>
      <c r="T106" s="76">
        <v>36177570</v>
      </c>
      <c r="U106" s="75">
        <v>0.81508052524901797</v>
      </c>
      <c r="V106" s="77">
        <v>8.8000000000000007</v>
      </c>
      <c r="W106" s="76">
        <v>30326473</v>
      </c>
      <c r="X106" s="76">
        <v>21626385</v>
      </c>
      <c r="Y106" s="75">
        <v>0.81531123931737304</v>
      </c>
      <c r="Z106" s="77">
        <v>8.5</v>
      </c>
      <c r="AA106" s="76">
        <v>21481310</v>
      </c>
      <c r="AB106" s="76">
        <v>17100340</v>
      </c>
      <c r="AC106" s="75">
        <v>0.82595634545251195</v>
      </c>
      <c r="AD106" s="77">
        <v>9.1</v>
      </c>
      <c r="AE106" s="76">
        <v>32604156</v>
      </c>
      <c r="AF106" s="76">
        <v>23851406</v>
      </c>
      <c r="AG106" s="75">
        <v>0.82913907551819399</v>
      </c>
      <c r="AH106" s="77">
        <v>8.6999999999999993</v>
      </c>
      <c r="AI106" s="76">
        <v>35029456</v>
      </c>
      <c r="AJ106" s="76">
        <v>22372901</v>
      </c>
      <c r="AK106" s="75">
        <v>0.81938022820497702</v>
      </c>
      <c r="AL106" s="77">
        <v>8.6999999999999993</v>
      </c>
      <c r="AM106" s="76">
        <v>25285334</v>
      </c>
      <c r="AN106" s="76">
        <v>19721014</v>
      </c>
      <c r="AO106" s="75">
        <v>0.82246256653179906</v>
      </c>
      <c r="AP106" s="77">
        <v>9</v>
      </c>
      <c r="AQ106" s="76">
        <v>40083999</v>
      </c>
      <c r="AR106" s="76">
        <v>31440691</v>
      </c>
      <c r="AS106" s="75">
        <v>0.82471416242582596</v>
      </c>
      <c r="AT106" s="77">
        <v>9.1999999999999993</v>
      </c>
      <c r="AU106" s="76">
        <v>39125058</v>
      </c>
      <c r="AV106" s="76">
        <v>30045993</v>
      </c>
      <c r="AW106" s="75">
        <v>0.80997891779070597</v>
      </c>
      <c r="AX106" s="77">
        <v>9.6999999999999993</v>
      </c>
      <c r="AY106" s="76">
        <v>24975434</v>
      </c>
      <c r="AZ106" s="76">
        <v>19622426</v>
      </c>
      <c r="BA106" s="75">
        <v>0.82321240780961702</v>
      </c>
      <c r="BB106" s="77">
        <v>9.6</v>
      </c>
      <c r="BC106" s="76">
        <v>36518678</v>
      </c>
      <c r="BD106" s="76">
        <v>28547954</v>
      </c>
      <c r="BE106" s="75">
        <v>0.82226813300303503</v>
      </c>
      <c r="BF106" s="77">
        <v>9</v>
      </c>
      <c r="BG106" s="76">
        <v>23625784</v>
      </c>
      <c r="BH106" s="76">
        <v>18366686</v>
      </c>
      <c r="BI106" s="75">
        <v>0.81431749543631704</v>
      </c>
    </row>
    <row r="107" spans="1:61" ht="16" customHeight="1" x14ac:dyDescent="0.15">
      <c r="A107" s="58" t="s">
        <v>58</v>
      </c>
      <c r="B107" s="77">
        <v>9.5</v>
      </c>
      <c r="C107" s="76">
        <v>30746980</v>
      </c>
      <c r="D107" s="76">
        <v>24509025</v>
      </c>
      <c r="E107" s="75">
        <v>0.83846966322762995</v>
      </c>
      <c r="F107" s="77">
        <v>9.6</v>
      </c>
      <c r="G107" s="76">
        <v>28319654</v>
      </c>
      <c r="H107" s="76">
        <v>22691621</v>
      </c>
      <c r="I107" s="75">
        <v>0.83732699445695202</v>
      </c>
      <c r="J107" s="77">
        <v>9.4</v>
      </c>
      <c r="K107" s="76">
        <v>24041076</v>
      </c>
      <c r="L107" s="76">
        <v>18839463</v>
      </c>
      <c r="M107" s="75">
        <v>0.82787387535687196</v>
      </c>
      <c r="N107" s="77">
        <v>9.5</v>
      </c>
      <c r="O107" s="76">
        <v>35528019</v>
      </c>
      <c r="P107" s="76">
        <v>27076749</v>
      </c>
      <c r="Q107" s="75">
        <v>0.83036243784184105</v>
      </c>
      <c r="R107" s="77">
        <v>8.9</v>
      </c>
      <c r="S107" s="76">
        <v>27696809</v>
      </c>
      <c r="T107" s="76">
        <v>21396136</v>
      </c>
      <c r="U107" s="75">
        <v>0.80942868717940197</v>
      </c>
      <c r="V107" s="77">
        <v>9.3000000000000007</v>
      </c>
      <c r="W107" s="76">
        <v>53762273</v>
      </c>
      <c r="X107" s="76">
        <v>38496453</v>
      </c>
      <c r="Y107" s="75">
        <v>0.81823839487049499</v>
      </c>
      <c r="Z107" s="77">
        <v>9.1</v>
      </c>
      <c r="AA107" s="76">
        <v>25427758</v>
      </c>
      <c r="AB107" s="76">
        <v>20220824</v>
      </c>
      <c r="AC107" s="75">
        <v>0.82425130602025798</v>
      </c>
      <c r="AD107" s="77">
        <v>8.4</v>
      </c>
      <c r="AE107" s="76">
        <v>29012183</v>
      </c>
      <c r="AF107" s="76">
        <v>21219130</v>
      </c>
      <c r="AG107" s="75">
        <v>0.83614848856417601</v>
      </c>
      <c r="AH107" s="77" t="s">
        <v>22</v>
      </c>
      <c r="AI107" s="76" t="s">
        <v>22</v>
      </c>
      <c r="AJ107" s="76" t="s">
        <v>22</v>
      </c>
      <c r="AK107" s="75" t="s">
        <v>22</v>
      </c>
      <c r="AL107" s="77">
        <v>8.6</v>
      </c>
      <c r="AM107" s="76">
        <v>22764734</v>
      </c>
      <c r="AN107" s="76">
        <v>17659562</v>
      </c>
      <c r="AO107" s="75">
        <v>0.81432211397730503</v>
      </c>
      <c r="AP107" s="77">
        <v>8.9</v>
      </c>
      <c r="AQ107" s="76">
        <v>34059938</v>
      </c>
      <c r="AR107" s="76">
        <v>25908035</v>
      </c>
      <c r="AS107" s="75">
        <v>0.80275899229528402</v>
      </c>
      <c r="AT107" s="77">
        <v>9.1999999999999993</v>
      </c>
      <c r="AU107" s="76">
        <v>31048827</v>
      </c>
      <c r="AV107" s="76">
        <v>22839948</v>
      </c>
      <c r="AW107" s="75">
        <v>0.81648505671652705</v>
      </c>
      <c r="AX107" s="77">
        <v>8.9</v>
      </c>
      <c r="AY107" s="76">
        <v>35852399</v>
      </c>
      <c r="AZ107" s="76">
        <v>27836705</v>
      </c>
      <c r="BA107" s="75">
        <v>0.81518829286189198</v>
      </c>
      <c r="BB107" s="77">
        <v>9.3000000000000007</v>
      </c>
      <c r="BC107" s="76">
        <v>32469548</v>
      </c>
      <c r="BD107" s="76">
        <v>25548113</v>
      </c>
      <c r="BE107" s="75">
        <v>0.826294530457655</v>
      </c>
      <c r="BF107" s="77">
        <v>8.6</v>
      </c>
      <c r="BG107" s="76">
        <v>42968931</v>
      </c>
      <c r="BH107" s="76">
        <v>33544550</v>
      </c>
      <c r="BI107" s="75">
        <v>0.80721030272609295</v>
      </c>
    </row>
    <row r="108" spans="1:61" ht="16" customHeight="1" x14ac:dyDescent="0.15">
      <c r="A108" s="58" t="s">
        <v>57</v>
      </c>
      <c r="B108" s="77">
        <v>9.6</v>
      </c>
      <c r="C108" s="76">
        <v>38137034</v>
      </c>
      <c r="D108" s="76">
        <v>30720143</v>
      </c>
      <c r="E108" s="75">
        <v>0.84436368971581899</v>
      </c>
      <c r="F108" s="77">
        <v>9.4</v>
      </c>
      <c r="G108" s="76">
        <v>29628549</v>
      </c>
      <c r="H108" s="76">
        <v>23960772</v>
      </c>
      <c r="I108" s="75">
        <v>0.84536404733152304</v>
      </c>
      <c r="J108" s="77">
        <v>8.8000000000000007</v>
      </c>
      <c r="K108" s="76">
        <v>29964776</v>
      </c>
      <c r="L108" s="76">
        <v>24025418</v>
      </c>
      <c r="M108" s="75">
        <v>0.84517155646337305</v>
      </c>
      <c r="N108" s="77">
        <v>9.6</v>
      </c>
      <c r="O108" s="76">
        <v>34046569</v>
      </c>
      <c r="P108" s="76">
        <v>26074481</v>
      </c>
      <c r="Q108" s="75">
        <v>0.83225011524060799</v>
      </c>
      <c r="R108" s="77">
        <v>8.9</v>
      </c>
      <c r="S108" s="76">
        <v>58501837</v>
      </c>
      <c r="T108" s="76">
        <v>24513832</v>
      </c>
      <c r="U108" s="75">
        <v>0.80686006250328302</v>
      </c>
      <c r="V108" s="77">
        <v>9.1999999999999993</v>
      </c>
      <c r="W108" s="76">
        <v>27213100</v>
      </c>
      <c r="X108" s="76">
        <v>19464596</v>
      </c>
      <c r="Y108" s="75">
        <v>0.81274063039667999</v>
      </c>
      <c r="Z108" s="77">
        <v>9.1</v>
      </c>
      <c r="AA108" s="76">
        <v>22107851</v>
      </c>
      <c r="AB108" s="76">
        <v>17684273</v>
      </c>
      <c r="AC108" s="75">
        <v>0.82904987353715398</v>
      </c>
      <c r="AD108" s="77">
        <v>9.1999999999999993</v>
      </c>
      <c r="AE108" s="76">
        <v>28987230</v>
      </c>
      <c r="AF108" s="76">
        <v>20895608</v>
      </c>
      <c r="AG108" s="75">
        <v>0.82731200747762201</v>
      </c>
      <c r="AH108" s="77">
        <v>8.6999999999999993</v>
      </c>
      <c r="AI108" s="76">
        <v>27122345</v>
      </c>
      <c r="AJ108" s="76">
        <v>17297094</v>
      </c>
      <c r="AK108" s="75">
        <v>0.80943991713686403</v>
      </c>
      <c r="AL108" s="77">
        <v>8.8000000000000007</v>
      </c>
      <c r="AM108" s="76">
        <v>23816038</v>
      </c>
      <c r="AN108" s="76">
        <v>18417067</v>
      </c>
      <c r="AO108" s="75">
        <v>0.81500830316835604</v>
      </c>
      <c r="AP108" s="77">
        <v>9</v>
      </c>
      <c r="AQ108" s="76">
        <v>30320998</v>
      </c>
      <c r="AR108" s="76">
        <v>22700798</v>
      </c>
      <c r="AS108" s="75">
        <v>0.81630987328043803</v>
      </c>
      <c r="AT108" s="77">
        <v>8.9</v>
      </c>
      <c r="AU108" s="76">
        <v>25049854</v>
      </c>
      <c r="AV108" s="76">
        <v>17463231</v>
      </c>
      <c r="AW108" s="75">
        <v>0.79328482805030398</v>
      </c>
      <c r="AX108" s="77">
        <v>9.5</v>
      </c>
      <c r="AY108" s="76">
        <v>35070128</v>
      </c>
      <c r="AZ108" s="76">
        <v>27235673</v>
      </c>
      <c r="BA108" s="75">
        <v>0.81749136154947</v>
      </c>
      <c r="BB108" s="77">
        <v>9.4</v>
      </c>
      <c r="BC108" s="76">
        <v>39281442</v>
      </c>
      <c r="BD108" s="76">
        <v>30961682</v>
      </c>
      <c r="BE108" s="75">
        <v>0.82816840392479096</v>
      </c>
      <c r="BF108" s="77">
        <v>9</v>
      </c>
      <c r="BG108" s="76">
        <v>22866189</v>
      </c>
      <c r="BH108" s="76">
        <v>17468362</v>
      </c>
      <c r="BI108" s="75">
        <v>0.80203947414334897</v>
      </c>
    </row>
    <row r="109" spans="1:61" ht="16" customHeight="1" x14ac:dyDescent="0.15">
      <c r="A109" s="58" t="s">
        <v>48</v>
      </c>
      <c r="B109" s="77">
        <v>9.4</v>
      </c>
      <c r="C109" s="76">
        <v>24620226</v>
      </c>
      <c r="D109" s="76">
        <v>18982207</v>
      </c>
      <c r="E109" s="75">
        <v>0.83589965350307105</v>
      </c>
      <c r="F109" s="77">
        <v>9.4</v>
      </c>
      <c r="G109" s="76">
        <v>22265800</v>
      </c>
      <c r="H109" s="76">
        <v>17503108</v>
      </c>
      <c r="I109" s="75">
        <v>0.83302903823362195</v>
      </c>
      <c r="J109" s="77">
        <v>9</v>
      </c>
      <c r="K109" s="76">
        <v>31990685</v>
      </c>
      <c r="L109" s="76">
        <v>25185072</v>
      </c>
      <c r="M109" s="75">
        <v>0.830483925903437</v>
      </c>
      <c r="N109" s="77">
        <v>9</v>
      </c>
      <c r="O109" s="76">
        <v>35018169</v>
      </c>
      <c r="P109" s="76">
        <v>19866832</v>
      </c>
      <c r="Q109" s="75">
        <v>0.79320363231005597</v>
      </c>
      <c r="R109" s="77">
        <v>8.9</v>
      </c>
      <c r="S109" s="76">
        <v>23574737</v>
      </c>
      <c r="T109" s="76">
        <v>18664079</v>
      </c>
      <c r="U109" s="75">
        <v>0.82490738615163905</v>
      </c>
      <c r="V109" s="77">
        <v>9.1</v>
      </c>
      <c r="W109" s="76">
        <v>26755325</v>
      </c>
      <c r="X109" s="76">
        <v>19280860</v>
      </c>
      <c r="Y109" s="75">
        <v>0.80568860989311397</v>
      </c>
      <c r="Z109" s="77">
        <v>8.9</v>
      </c>
      <c r="AA109" s="76">
        <v>28695121</v>
      </c>
      <c r="AB109" s="76">
        <v>20833507</v>
      </c>
      <c r="AC109" s="75">
        <v>0.82695693327549202</v>
      </c>
      <c r="AD109" s="77">
        <v>9.1</v>
      </c>
      <c r="AE109" s="76">
        <v>22887277</v>
      </c>
      <c r="AF109" s="76">
        <v>17251600</v>
      </c>
      <c r="AG109" s="75">
        <v>0.83084432249797702</v>
      </c>
      <c r="AH109" s="77">
        <v>8.8000000000000007</v>
      </c>
      <c r="AI109" s="76">
        <v>32557935</v>
      </c>
      <c r="AJ109" s="76">
        <v>24497097</v>
      </c>
      <c r="AK109" s="75">
        <v>0.78206381088030796</v>
      </c>
      <c r="AL109" s="77">
        <v>8.5</v>
      </c>
      <c r="AM109" s="76">
        <v>24100481</v>
      </c>
      <c r="AN109" s="76">
        <v>18842549</v>
      </c>
      <c r="AO109" s="75">
        <v>0.82482875846577197</v>
      </c>
      <c r="AP109" s="80" t="s">
        <v>22</v>
      </c>
      <c r="AQ109" s="79" t="s">
        <v>22</v>
      </c>
      <c r="AR109" s="79" t="s">
        <v>22</v>
      </c>
      <c r="AS109" s="78" t="s">
        <v>22</v>
      </c>
      <c r="AT109" s="77">
        <v>8.8000000000000007</v>
      </c>
      <c r="AU109" s="76">
        <v>37590040</v>
      </c>
      <c r="AV109" s="76">
        <v>27765912</v>
      </c>
      <c r="AW109" s="75">
        <v>0.81538944234421296</v>
      </c>
      <c r="AX109" s="77">
        <v>9.3000000000000007</v>
      </c>
      <c r="AY109" s="76">
        <v>24434848</v>
      </c>
      <c r="AZ109" s="76">
        <v>18350745</v>
      </c>
      <c r="BA109" s="75">
        <v>0.80967090794927299</v>
      </c>
      <c r="BB109" s="77">
        <v>8.9</v>
      </c>
      <c r="BC109" s="76">
        <v>30243078</v>
      </c>
      <c r="BD109" s="76">
        <v>22594408</v>
      </c>
      <c r="BE109" s="75">
        <v>0.81361519425765305</v>
      </c>
      <c r="BF109" s="77">
        <v>9.1999999999999993</v>
      </c>
      <c r="BG109" s="76">
        <v>25828334</v>
      </c>
      <c r="BH109" s="76">
        <v>19937802</v>
      </c>
      <c r="BI109" s="75">
        <v>0.81235060614799603</v>
      </c>
    </row>
    <row r="110" spans="1:61" ht="16" customHeight="1" x14ac:dyDescent="0.15">
      <c r="A110" s="58" t="s">
        <v>52</v>
      </c>
      <c r="B110" s="77">
        <v>9.3000000000000007</v>
      </c>
      <c r="C110" s="76">
        <v>23040636</v>
      </c>
      <c r="D110" s="76">
        <v>16889311</v>
      </c>
      <c r="E110" s="75">
        <v>0.83517555819596301</v>
      </c>
      <c r="F110" s="77">
        <v>9.1999999999999993</v>
      </c>
      <c r="G110" s="76">
        <v>39216679</v>
      </c>
      <c r="H110" s="76">
        <v>31497619</v>
      </c>
      <c r="I110" s="75">
        <v>0.83963224633079003</v>
      </c>
      <c r="J110" s="77">
        <v>9.3000000000000007</v>
      </c>
      <c r="K110" s="76">
        <v>33727513</v>
      </c>
      <c r="L110" s="76">
        <v>27211869</v>
      </c>
      <c r="M110" s="75">
        <v>0.84992766897063199</v>
      </c>
      <c r="N110" s="77">
        <v>9.6</v>
      </c>
      <c r="O110" s="76">
        <v>25118472</v>
      </c>
      <c r="P110" s="76">
        <v>18687033</v>
      </c>
      <c r="Q110" s="75">
        <v>0.81845344500755401</v>
      </c>
      <c r="R110" s="77">
        <v>8.6999999999999993</v>
      </c>
      <c r="S110" s="76">
        <v>37056087</v>
      </c>
      <c r="T110" s="76">
        <v>26166475</v>
      </c>
      <c r="U110" s="75">
        <v>0.80511076364258904</v>
      </c>
      <c r="V110" s="77">
        <v>9.1</v>
      </c>
      <c r="W110" s="76">
        <v>52245143</v>
      </c>
      <c r="X110" s="76">
        <v>23296962</v>
      </c>
      <c r="Y110" s="75">
        <v>0.81281548025778305</v>
      </c>
      <c r="Z110" s="77">
        <v>9</v>
      </c>
      <c r="AA110" s="76">
        <v>41087813</v>
      </c>
      <c r="AB110" s="76">
        <v>32581528</v>
      </c>
      <c r="AC110" s="75">
        <v>0.82467197540172998</v>
      </c>
      <c r="AD110" s="77">
        <v>9.1</v>
      </c>
      <c r="AE110" s="76">
        <v>28287393</v>
      </c>
      <c r="AF110" s="76">
        <v>20545534</v>
      </c>
      <c r="AG110" s="75">
        <v>0.82877106952980595</v>
      </c>
      <c r="AH110" s="77">
        <v>8.8000000000000007</v>
      </c>
      <c r="AI110" s="76">
        <v>36117499</v>
      </c>
      <c r="AJ110" s="76">
        <v>26770773</v>
      </c>
      <c r="AK110" s="75">
        <v>0.78304674074907599</v>
      </c>
      <c r="AL110" s="77">
        <v>8.6</v>
      </c>
      <c r="AM110" s="76">
        <v>33521754</v>
      </c>
      <c r="AN110" s="76">
        <v>25505874</v>
      </c>
      <c r="AO110" s="75">
        <v>0.80619252222872095</v>
      </c>
      <c r="AP110" s="77">
        <v>8.8000000000000007</v>
      </c>
      <c r="AQ110" s="76">
        <v>39639187</v>
      </c>
      <c r="AR110" s="76">
        <v>30754665</v>
      </c>
      <c r="AS110" s="75">
        <v>0.81540302081276905</v>
      </c>
      <c r="AT110" s="77">
        <v>9.1999999999999993</v>
      </c>
      <c r="AU110" s="76">
        <v>28900125</v>
      </c>
      <c r="AV110" s="76">
        <v>21653422</v>
      </c>
      <c r="AW110" s="75">
        <v>0.790022249567226</v>
      </c>
      <c r="AX110" s="77">
        <v>9.4</v>
      </c>
      <c r="AY110" s="76">
        <v>34109761</v>
      </c>
      <c r="AZ110" s="76">
        <v>25992173</v>
      </c>
      <c r="BA110" s="75">
        <v>0.80179313338097202</v>
      </c>
      <c r="BB110" s="77">
        <v>9</v>
      </c>
      <c r="BC110" s="76">
        <v>24841508</v>
      </c>
      <c r="BD110" s="76">
        <v>19032035</v>
      </c>
      <c r="BE110" s="75">
        <v>0.81453058780993404</v>
      </c>
      <c r="BF110" s="77">
        <v>9.3000000000000007</v>
      </c>
      <c r="BG110" s="76">
        <v>21885413</v>
      </c>
      <c r="BH110" s="76">
        <v>16802572</v>
      </c>
      <c r="BI110" s="75">
        <v>0.80753316963424904</v>
      </c>
    </row>
    <row r="111" spans="1:61" ht="16" customHeight="1" x14ac:dyDescent="0.15">
      <c r="A111" s="74" t="s">
        <v>61</v>
      </c>
      <c r="B111" s="73">
        <v>9.6</v>
      </c>
      <c r="C111" s="72">
        <v>34076421</v>
      </c>
      <c r="D111" s="72">
        <v>26366063</v>
      </c>
      <c r="E111" s="71">
        <v>0.84306090683220802</v>
      </c>
      <c r="F111" s="73">
        <v>9.1999999999999993</v>
      </c>
      <c r="G111" s="72">
        <v>34003591</v>
      </c>
      <c r="H111" s="72">
        <v>27398202</v>
      </c>
      <c r="I111" s="71">
        <v>0.84336758830938197</v>
      </c>
      <c r="J111" s="73">
        <v>9</v>
      </c>
      <c r="K111" s="72">
        <v>22563552</v>
      </c>
      <c r="L111" s="72">
        <v>18038312</v>
      </c>
      <c r="M111" s="71">
        <v>0.84179124927444704</v>
      </c>
      <c r="N111" s="73">
        <v>9.4</v>
      </c>
      <c r="O111" s="72">
        <v>22978127</v>
      </c>
      <c r="P111" s="72">
        <v>17516207</v>
      </c>
      <c r="Q111" s="71">
        <v>0.83150458444796205</v>
      </c>
      <c r="R111" s="73">
        <v>8.6999999999999993</v>
      </c>
      <c r="S111" s="72">
        <v>50563368</v>
      </c>
      <c r="T111" s="72">
        <v>20327472</v>
      </c>
      <c r="U111" s="71">
        <v>0.80509249278881301</v>
      </c>
      <c r="V111" s="73">
        <v>9.9</v>
      </c>
      <c r="W111" s="72">
        <v>26670822</v>
      </c>
      <c r="X111" s="72">
        <v>19112663</v>
      </c>
      <c r="Y111" s="71">
        <v>0.81671443488415396</v>
      </c>
      <c r="Z111" s="73">
        <v>9.3000000000000007</v>
      </c>
      <c r="AA111" s="72">
        <v>26694722</v>
      </c>
      <c r="AB111" s="72">
        <v>19538310</v>
      </c>
      <c r="AC111" s="71">
        <v>0.82866370914730003</v>
      </c>
      <c r="AD111" s="73" t="s">
        <v>22</v>
      </c>
      <c r="AE111" s="72" t="s">
        <v>22</v>
      </c>
      <c r="AF111" s="72" t="s">
        <v>22</v>
      </c>
      <c r="AG111" s="71" t="s">
        <v>22</v>
      </c>
      <c r="AH111" s="73">
        <v>7.9</v>
      </c>
      <c r="AI111" s="72">
        <v>36925874</v>
      </c>
      <c r="AJ111" s="72">
        <v>27326452</v>
      </c>
      <c r="AK111" s="71">
        <v>0.78273364990661098</v>
      </c>
      <c r="AL111" s="73">
        <v>8.3000000000000007</v>
      </c>
      <c r="AM111" s="72">
        <v>22820672</v>
      </c>
      <c r="AN111" s="72">
        <v>17674689</v>
      </c>
      <c r="AO111" s="71">
        <v>0.81337982036115797</v>
      </c>
      <c r="AP111" s="73">
        <v>8.8000000000000007</v>
      </c>
      <c r="AQ111" s="72">
        <v>43391413</v>
      </c>
      <c r="AR111" s="72">
        <v>33564106</v>
      </c>
      <c r="AS111" s="71">
        <v>0.81415145221296104</v>
      </c>
      <c r="AT111" s="73">
        <v>9</v>
      </c>
      <c r="AU111" s="72">
        <v>32996218</v>
      </c>
      <c r="AV111" s="72">
        <v>24393082</v>
      </c>
      <c r="AW111" s="71">
        <v>0.81242606366490699</v>
      </c>
      <c r="AX111" s="73">
        <v>9</v>
      </c>
      <c r="AY111" s="72">
        <v>38135216</v>
      </c>
      <c r="AZ111" s="72">
        <v>29431148</v>
      </c>
      <c r="BA111" s="71">
        <v>0.81108701400579397</v>
      </c>
      <c r="BB111" s="73">
        <v>9</v>
      </c>
      <c r="BC111" s="72">
        <v>27053162</v>
      </c>
      <c r="BD111" s="72">
        <v>21032404</v>
      </c>
      <c r="BE111" s="71">
        <v>0.816315755053312</v>
      </c>
      <c r="BF111" s="73">
        <v>8.1</v>
      </c>
      <c r="BG111" s="72">
        <v>23327173</v>
      </c>
      <c r="BH111" s="72">
        <v>17950760</v>
      </c>
      <c r="BI111" s="71">
        <v>0.80957551535981598</v>
      </c>
    </row>
    <row r="112" spans="1:61" ht="8" customHeight="1" x14ac:dyDescent="0.15">
      <c r="A112" s="70"/>
      <c r="B112" s="63"/>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2"/>
      <c r="AQ112" s="62"/>
      <c r="AR112" s="62"/>
      <c r="AS112" s="62"/>
      <c r="AT112" s="62"/>
      <c r="AU112" s="62"/>
      <c r="AV112" s="62"/>
      <c r="AW112" s="62"/>
      <c r="AX112" s="62"/>
      <c r="AY112" s="62"/>
      <c r="AZ112" s="62"/>
      <c r="BA112" s="62"/>
      <c r="BB112" s="62"/>
      <c r="BC112" s="62"/>
      <c r="BD112" s="62"/>
      <c r="BE112" s="62"/>
      <c r="BF112" s="62"/>
      <c r="BG112" s="62"/>
      <c r="BH112" s="62"/>
      <c r="BI112" s="62"/>
    </row>
    <row r="113" spans="1:61" ht="16" customHeight="1" x14ac:dyDescent="0.15">
      <c r="A113" s="69" t="s">
        <v>27</v>
      </c>
      <c r="B113" s="68">
        <f t="shared" ref="B113:AG113" si="0">MEDIAN(B5:B111)</f>
        <v>9.5</v>
      </c>
      <c r="C113" s="66">
        <f t="shared" si="0"/>
        <v>26217863.5</v>
      </c>
      <c r="D113" s="66">
        <f t="shared" si="0"/>
        <v>20349725</v>
      </c>
      <c r="E113" s="65">
        <f t="shared" si="0"/>
        <v>0.83940357417426303</v>
      </c>
      <c r="F113" s="67">
        <f t="shared" si="0"/>
        <v>9.4</v>
      </c>
      <c r="G113" s="66">
        <f t="shared" si="0"/>
        <v>28008845</v>
      </c>
      <c r="H113" s="66">
        <f t="shared" si="0"/>
        <v>22098387</v>
      </c>
      <c r="I113" s="65">
        <f t="shared" si="0"/>
        <v>0.83765381627230495</v>
      </c>
      <c r="J113" s="67">
        <f t="shared" si="0"/>
        <v>8.9</v>
      </c>
      <c r="K113" s="66">
        <f t="shared" si="0"/>
        <v>27601871</v>
      </c>
      <c r="L113" s="66">
        <f t="shared" si="0"/>
        <v>21764153</v>
      </c>
      <c r="M113" s="65">
        <f t="shared" si="0"/>
        <v>0.83923396005495998</v>
      </c>
      <c r="N113" s="67">
        <f t="shared" si="0"/>
        <v>9.3000000000000007</v>
      </c>
      <c r="O113" s="66">
        <f t="shared" si="0"/>
        <v>35634689</v>
      </c>
      <c r="P113" s="66">
        <f t="shared" si="0"/>
        <v>19427877.5</v>
      </c>
      <c r="Q113" s="65">
        <f t="shared" si="0"/>
        <v>0.81235811452546747</v>
      </c>
      <c r="R113" s="67">
        <f t="shared" si="0"/>
        <v>8.8000000000000007</v>
      </c>
      <c r="S113" s="66">
        <f t="shared" si="0"/>
        <v>24870816</v>
      </c>
      <c r="T113" s="66">
        <f t="shared" si="0"/>
        <v>19227441</v>
      </c>
      <c r="U113" s="65">
        <f t="shared" si="0"/>
        <v>0.80960275741646803</v>
      </c>
      <c r="V113" s="67">
        <f t="shared" si="0"/>
        <v>8.9</v>
      </c>
      <c r="W113" s="66">
        <f t="shared" si="0"/>
        <v>28072979.5</v>
      </c>
      <c r="X113" s="66">
        <f t="shared" si="0"/>
        <v>19907115</v>
      </c>
      <c r="Y113" s="65">
        <f t="shared" si="0"/>
        <v>0.80272979059193994</v>
      </c>
      <c r="Z113" s="67">
        <f t="shared" si="0"/>
        <v>9</v>
      </c>
      <c r="AA113" s="66">
        <f t="shared" si="0"/>
        <v>31158755</v>
      </c>
      <c r="AB113" s="66">
        <f t="shared" si="0"/>
        <v>23318638</v>
      </c>
      <c r="AC113" s="65">
        <f t="shared" si="0"/>
        <v>0.82907883961953399</v>
      </c>
      <c r="AD113" s="67">
        <f t="shared" si="0"/>
        <v>9</v>
      </c>
      <c r="AE113" s="66">
        <f t="shared" si="0"/>
        <v>25542104.5</v>
      </c>
      <c r="AF113" s="66">
        <f t="shared" si="0"/>
        <v>19780503.5</v>
      </c>
      <c r="AG113" s="65">
        <f t="shared" si="0"/>
        <v>0.83197557414046852</v>
      </c>
      <c r="AH113" s="67">
        <f t="shared" ref="AH113:BI113" si="1">MEDIAN(AH5:AH111)</f>
        <v>8.4</v>
      </c>
      <c r="AI113" s="66">
        <f t="shared" si="1"/>
        <v>26660310</v>
      </c>
      <c r="AJ113" s="66">
        <f t="shared" si="1"/>
        <v>19505042</v>
      </c>
      <c r="AK113" s="65">
        <f t="shared" si="1"/>
        <v>0.80269307931451706</v>
      </c>
      <c r="AL113" s="67">
        <f t="shared" si="1"/>
        <v>8.8000000000000007</v>
      </c>
      <c r="AM113" s="66">
        <f t="shared" si="1"/>
        <v>22892819</v>
      </c>
      <c r="AN113" s="66">
        <f t="shared" si="1"/>
        <v>17896336</v>
      </c>
      <c r="AO113" s="65">
        <f t="shared" si="1"/>
        <v>0.82484132865612003</v>
      </c>
      <c r="AP113" s="67">
        <f t="shared" si="1"/>
        <v>9</v>
      </c>
      <c r="AQ113" s="66">
        <f t="shared" si="1"/>
        <v>27101924</v>
      </c>
      <c r="AR113" s="66">
        <f t="shared" si="1"/>
        <v>20443463</v>
      </c>
      <c r="AS113" s="65">
        <f t="shared" si="1"/>
        <v>0.81368587640530099</v>
      </c>
      <c r="AT113" s="67">
        <f t="shared" si="1"/>
        <v>9.1</v>
      </c>
      <c r="AU113" s="66">
        <f t="shared" si="1"/>
        <v>26899722</v>
      </c>
      <c r="AV113" s="66">
        <f t="shared" si="1"/>
        <v>19944731</v>
      </c>
      <c r="AW113" s="65">
        <f t="shared" si="1"/>
        <v>0.81649936745070995</v>
      </c>
      <c r="AX113" s="67">
        <f t="shared" si="1"/>
        <v>9.1999999999999993</v>
      </c>
      <c r="AY113" s="66">
        <f t="shared" si="1"/>
        <v>26968044</v>
      </c>
      <c r="AZ113" s="66">
        <f t="shared" si="1"/>
        <v>20219315.5</v>
      </c>
      <c r="BA113" s="65">
        <f t="shared" si="1"/>
        <v>0.80971031421334305</v>
      </c>
      <c r="BB113" s="67">
        <f t="shared" si="1"/>
        <v>9</v>
      </c>
      <c r="BC113" s="66">
        <f t="shared" si="1"/>
        <v>27298015.5</v>
      </c>
      <c r="BD113" s="66">
        <f t="shared" si="1"/>
        <v>20297160.5</v>
      </c>
      <c r="BE113" s="65">
        <f t="shared" si="1"/>
        <v>0.81875542987474059</v>
      </c>
      <c r="BF113" s="67">
        <f t="shared" si="1"/>
        <v>8.9</v>
      </c>
      <c r="BG113" s="66">
        <f t="shared" si="1"/>
        <v>25993316</v>
      </c>
      <c r="BH113" s="66">
        <f t="shared" si="1"/>
        <v>19971788</v>
      </c>
      <c r="BI113" s="65">
        <f t="shared" si="1"/>
        <v>0.80964007596825094</v>
      </c>
    </row>
    <row r="114" spans="1:61" ht="16" customHeight="1" x14ac:dyDescent="0.15">
      <c r="A114" s="69" t="s">
        <v>28</v>
      </c>
      <c r="B114" s="68">
        <f t="shared" ref="B114:AG114" si="2">AVERAGE(B5:B111)</f>
        <v>9.4358490566037716</v>
      </c>
      <c r="C114" s="66">
        <f t="shared" si="2"/>
        <v>28927893.490566038</v>
      </c>
      <c r="D114" s="66">
        <f t="shared" si="2"/>
        <v>21647328.528301887</v>
      </c>
      <c r="E114" s="65">
        <f t="shared" si="2"/>
        <v>0.83919708154604888</v>
      </c>
      <c r="F114" s="67">
        <f t="shared" si="2"/>
        <v>9.43047619047619</v>
      </c>
      <c r="G114" s="66">
        <f t="shared" si="2"/>
        <v>29115537.03809524</v>
      </c>
      <c r="H114" s="66">
        <f t="shared" si="2"/>
        <v>22921517.399999999</v>
      </c>
      <c r="I114" s="65">
        <f t="shared" si="2"/>
        <v>0.83672971656523287</v>
      </c>
      <c r="J114" s="67">
        <f t="shared" si="2"/>
        <v>8.8380952380952351</v>
      </c>
      <c r="K114" s="66">
        <f t="shared" si="2"/>
        <v>29500877.552380953</v>
      </c>
      <c r="L114" s="66">
        <f t="shared" si="2"/>
        <v>22486965.847619049</v>
      </c>
      <c r="M114" s="65">
        <f t="shared" si="2"/>
        <v>0.83847085745643701</v>
      </c>
      <c r="N114" s="67">
        <f t="shared" si="2"/>
        <v>9.2830188679245289</v>
      </c>
      <c r="O114" s="66">
        <f t="shared" si="2"/>
        <v>36321611.122641511</v>
      </c>
      <c r="P114" s="66">
        <f t="shared" si="2"/>
        <v>20501911.849056605</v>
      </c>
      <c r="Q114" s="65">
        <f t="shared" si="2"/>
        <v>0.81344766934777213</v>
      </c>
      <c r="R114" s="67">
        <f t="shared" si="2"/>
        <v>8.7633663366336627</v>
      </c>
      <c r="S114" s="66">
        <f t="shared" si="2"/>
        <v>28634303.217821781</v>
      </c>
      <c r="T114" s="66">
        <f t="shared" si="2"/>
        <v>20623358.148514852</v>
      </c>
      <c r="U114" s="65">
        <f t="shared" si="2"/>
        <v>0.80915665856702412</v>
      </c>
      <c r="V114" s="67">
        <f t="shared" si="2"/>
        <v>8.9580000000000002</v>
      </c>
      <c r="W114" s="66">
        <f t="shared" si="2"/>
        <v>30799648.588235293</v>
      </c>
      <c r="X114" s="66">
        <f t="shared" si="2"/>
        <v>21035833.705882352</v>
      </c>
      <c r="Y114" s="65">
        <f t="shared" si="2"/>
        <v>0.8013701754974869</v>
      </c>
      <c r="Z114" s="67">
        <f t="shared" si="2"/>
        <v>9.0639999999999965</v>
      </c>
      <c r="AA114" s="66">
        <f t="shared" si="2"/>
        <v>33009412.09</v>
      </c>
      <c r="AB114" s="66">
        <f t="shared" si="2"/>
        <v>24345630.25</v>
      </c>
      <c r="AC114" s="65">
        <f t="shared" si="2"/>
        <v>0.82868201073440273</v>
      </c>
      <c r="AD114" s="67">
        <f t="shared" si="2"/>
        <v>8.963725490196083</v>
      </c>
      <c r="AE114" s="66">
        <f t="shared" si="2"/>
        <v>26564289.25490196</v>
      </c>
      <c r="AF114" s="66">
        <f t="shared" si="2"/>
        <v>20470996.480392158</v>
      </c>
      <c r="AG114" s="65">
        <f t="shared" si="2"/>
        <v>0.83171662960828463</v>
      </c>
      <c r="AH114" s="67">
        <f t="shared" ref="AH114:BI114" si="3">AVERAGE(AH5:AH111)</f>
        <v>8.2435643564356447</v>
      </c>
      <c r="AI114" s="66">
        <f t="shared" si="3"/>
        <v>27577169.09708738</v>
      </c>
      <c r="AJ114" s="66">
        <f t="shared" si="3"/>
        <v>20346166.582524274</v>
      </c>
      <c r="AK114" s="65">
        <f t="shared" si="3"/>
        <v>0.79374845934497029</v>
      </c>
      <c r="AL114" s="67">
        <f t="shared" si="3"/>
        <v>8.7378640776699026</v>
      </c>
      <c r="AM114" s="66">
        <f t="shared" si="3"/>
        <v>25918257</v>
      </c>
      <c r="AN114" s="66">
        <f t="shared" si="3"/>
        <v>19803070.221153848</v>
      </c>
      <c r="AO114" s="65">
        <f t="shared" si="3"/>
        <v>0.82006797638960782</v>
      </c>
      <c r="AP114" s="67">
        <f t="shared" si="3"/>
        <v>8.9694736842105236</v>
      </c>
      <c r="AQ114" s="66">
        <f t="shared" si="3"/>
        <v>29466533.273684211</v>
      </c>
      <c r="AR114" s="66">
        <f t="shared" si="3"/>
        <v>22219802.463157896</v>
      </c>
      <c r="AS114" s="65">
        <f t="shared" si="3"/>
        <v>0.80969570529244106</v>
      </c>
      <c r="AT114" s="67">
        <f t="shared" si="3"/>
        <v>9.0082474226804159</v>
      </c>
      <c r="AU114" s="66">
        <f t="shared" si="3"/>
        <v>29720617.766990293</v>
      </c>
      <c r="AV114" s="66">
        <f t="shared" si="3"/>
        <v>21652477.737864077</v>
      </c>
      <c r="AW114" s="65">
        <f t="shared" si="3"/>
        <v>0.81541582739854546</v>
      </c>
      <c r="AX114" s="67">
        <f t="shared" si="3"/>
        <v>9.1872549019607828</v>
      </c>
      <c r="AY114" s="66">
        <f t="shared" si="3"/>
        <v>29121988.96153846</v>
      </c>
      <c r="AZ114" s="66">
        <f t="shared" si="3"/>
        <v>21090392.96153846</v>
      </c>
      <c r="BA114" s="65">
        <f t="shared" si="3"/>
        <v>0.80963770848362404</v>
      </c>
      <c r="BB114" s="67">
        <f t="shared" si="3"/>
        <v>8.9778846153846139</v>
      </c>
      <c r="BC114" s="66">
        <f t="shared" si="3"/>
        <v>29603998.115384616</v>
      </c>
      <c r="BD114" s="66">
        <f t="shared" si="3"/>
        <v>22240467.83653846</v>
      </c>
      <c r="BE114" s="65">
        <f t="shared" si="3"/>
        <v>0.81826387748898921</v>
      </c>
      <c r="BF114" s="67">
        <f t="shared" si="3"/>
        <v>8.8262135922330121</v>
      </c>
      <c r="BG114" s="66">
        <f t="shared" si="3"/>
        <v>27405313.692307692</v>
      </c>
      <c r="BH114" s="66">
        <f t="shared" si="3"/>
        <v>20638811</v>
      </c>
      <c r="BI114" s="65">
        <f t="shared" si="3"/>
        <v>0.80537538298629374</v>
      </c>
    </row>
    <row r="115" spans="1:61" ht="16" customHeight="1" x14ac:dyDescent="0.15">
      <c r="A115" s="69" t="s">
        <v>35</v>
      </c>
      <c r="B115" s="68" t="s">
        <v>34</v>
      </c>
      <c r="C115" s="66">
        <f>SUM(C5:C111)</f>
        <v>3066356710</v>
      </c>
      <c r="D115" s="66">
        <f>SUM(D5:D111)</f>
        <v>2294616824</v>
      </c>
      <c r="E115" s="65" t="s">
        <v>34</v>
      </c>
      <c r="F115" s="67" t="s">
        <v>34</v>
      </c>
      <c r="G115" s="66">
        <f>SUM(G5:G111)</f>
        <v>3057131389</v>
      </c>
      <c r="H115" s="66">
        <f>SUM(H5:H111)</f>
        <v>2406759327</v>
      </c>
      <c r="I115" s="65" t="s">
        <v>34</v>
      </c>
      <c r="J115" s="67" t="s">
        <v>34</v>
      </c>
      <c r="K115" s="66">
        <f>SUM(K5:K111)</f>
        <v>3097592143</v>
      </c>
      <c r="L115" s="66">
        <f>SUM(L5:L111)</f>
        <v>2361131414</v>
      </c>
      <c r="M115" s="65" t="s">
        <v>34</v>
      </c>
      <c r="N115" s="67" t="s">
        <v>34</v>
      </c>
      <c r="O115" s="66">
        <f>SUM(O5:O111)</f>
        <v>3850090779</v>
      </c>
      <c r="P115" s="66">
        <f>SUM(P5:P111)</f>
        <v>2173202656</v>
      </c>
      <c r="Q115" s="65" t="s">
        <v>34</v>
      </c>
      <c r="R115" s="67" t="s">
        <v>34</v>
      </c>
      <c r="S115" s="66">
        <f>SUM(S5:S111)</f>
        <v>2892064625</v>
      </c>
      <c r="T115" s="66">
        <f>SUM(T5:T111)</f>
        <v>2082959173</v>
      </c>
      <c r="U115" s="65" t="s">
        <v>34</v>
      </c>
      <c r="V115" s="67" t="s">
        <v>34</v>
      </c>
      <c r="W115" s="66">
        <f>SUM(W5:W111)</f>
        <v>3141564156</v>
      </c>
      <c r="X115" s="66">
        <f>SUM(X5:X111)</f>
        <v>2145655038</v>
      </c>
      <c r="Y115" s="65" t="s">
        <v>34</v>
      </c>
      <c r="Z115" s="67" t="s">
        <v>34</v>
      </c>
      <c r="AA115" s="66">
        <f>SUM(AA5:AA111)</f>
        <v>3300941209</v>
      </c>
      <c r="AB115" s="66">
        <f>SUM(AB5:AB111)</f>
        <v>2434563025</v>
      </c>
      <c r="AC115" s="65" t="s">
        <v>34</v>
      </c>
      <c r="AD115" s="67" t="s">
        <v>34</v>
      </c>
      <c r="AE115" s="66">
        <f>SUM(AE5:AE111)</f>
        <v>2709557504</v>
      </c>
      <c r="AF115" s="66">
        <f>SUM(AF5:AF111)</f>
        <v>2088041641</v>
      </c>
      <c r="AG115" s="65" t="s">
        <v>34</v>
      </c>
      <c r="AH115" s="67" t="s">
        <v>34</v>
      </c>
      <c r="AI115" s="66">
        <f>SUM(AI5:AI111)</f>
        <v>2840448417</v>
      </c>
      <c r="AJ115" s="66">
        <f>SUM(AJ5:AJ111)</f>
        <v>2095655158</v>
      </c>
      <c r="AK115" s="65" t="s">
        <v>34</v>
      </c>
      <c r="AL115" s="67" t="s">
        <v>34</v>
      </c>
      <c r="AM115" s="66">
        <f>SUM(AM5:AM111)</f>
        <v>2695498728</v>
      </c>
      <c r="AN115" s="66">
        <f>SUM(AN5:AN111)</f>
        <v>2059519303</v>
      </c>
      <c r="AO115" s="65" t="s">
        <v>34</v>
      </c>
      <c r="AP115" s="67" t="s">
        <v>34</v>
      </c>
      <c r="AQ115" s="66">
        <f>SUM(AQ5:AQ111)</f>
        <v>2799320661</v>
      </c>
      <c r="AR115" s="66">
        <f>SUM(AR5:AR111)</f>
        <v>2110881234</v>
      </c>
      <c r="AS115" s="65" t="s">
        <v>34</v>
      </c>
      <c r="AT115" s="67" t="s">
        <v>34</v>
      </c>
      <c r="AU115" s="66">
        <f>SUM(AU5:AU111)</f>
        <v>3061223630</v>
      </c>
      <c r="AV115" s="66">
        <f>SUM(AV5:AV111)</f>
        <v>2230205207</v>
      </c>
      <c r="AW115" s="65" t="s">
        <v>34</v>
      </c>
      <c r="AX115" s="67" t="s">
        <v>34</v>
      </c>
      <c r="AY115" s="66">
        <f>SUM(AY5:AY111)</f>
        <v>3028686852</v>
      </c>
      <c r="AZ115" s="66">
        <f>SUM(AZ5:AZ111)</f>
        <v>2193400868</v>
      </c>
      <c r="BA115" s="65" t="s">
        <v>34</v>
      </c>
      <c r="BB115" s="67" t="s">
        <v>34</v>
      </c>
      <c r="BC115" s="66">
        <f>SUM(BC5:BC111)</f>
        <v>3078815804</v>
      </c>
      <c r="BD115" s="66">
        <f>SUM(BD5:BD111)</f>
        <v>2313008655</v>
      </c>
      <c r="BE115" s="65" t="s">
        <v>34</v>
      </c>
      <c r="BF115" s="67" t="s">
        <v>34</v>
      </c>
      <c r="BG115" s="66">
        <f>SUM(BG5:BG111)</f>
        <v>2850152624</v>
      </c>
      <c r="BH115" s="66">
        <f>SUM(BH5:BH111)</f>
        <v>2146436344</v>
      </c>
      <c r="BI115" s="65" t="s">
        <v>34</v>
      </c>
    </row>
    <row r="116" spans="1:61" ht="16" customHeight="1" x14ac:dyDescent="0.15">
      <c r="A116" s="64"/>
      <c r="B116" s="63"/>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2"/>
      <c r="AI116" s="62"/>
      <c r="AJ116" s="62"/>
      <c r="AK116" s="62"/>
      <c r="AL116" s="62"/>
      <c r="AM116" s="62"/>
      <c r="AN116" s="62"/>
      <c r="AO116" s="62"/>
      <c r="AP116" s="62"/>
      <c r="AQ116" s="62"/>
      <c r="AR116" s="62"/>
      <c r="AS116" s="62"/>
      <c r="AT116" s="62"/>
      <c r="AU116" s="62"/>
      <c r="AV116" s="62"/>
      <c r="AW116" s="62"/>
      <c r="AX116" s="62"/>
      <c r="AY116" s="62"/>
      <c r="AZ116" s="62"/>
      <c r="BA116" s="62"/>
      <c r="BB116" s="62"/>
      <c r="BC116" s="62"/>
      <c r="BD116" s="62"/>
      <c r="BE116" s="62"/>
      <c r="BF116" s="62"/>
      <c r="BG116" s="62"/>
      <c r="BH116" s="62"/>
      <c r="BI116" s="62"/>
    </row>
  </sheetData>
  <sortState ref="A97:BI111">
    <sortCondition ref="A97:A111"/>
  </sortState>
  <mergeCells count="15">
    <mergeCell ref="BB3:BE3"/>
    <mergeCell ref="BF3:BI3"/>
    <mergeCell ref="Z3:AC3"/>
    <mergeCell ref="AD3:AG3"/>
    <mergeCell ref="B3:E3"/>
    <mergeCell ref="F3:I3"/>
    <mergeCell ref="J3:M3"/>
    <mergeCell ref="N3:Q3"/>
    <mergeCell ref="R3:U3"/>
    <mergeCell ref="V3:Y3"/>
    <mergeCell ref="AH3:AK3"/>
    <mergeCell ref="AL3:AO3"/>
    <mergeCell ref="AP3:AS3"/>
    <mergeCell ref="AT3:AW3"/>
    <mergeCell ref="AX3:BA3"/>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 S1A</vt:lpstr>
      <vt:lpstr>Table S1B</vt:lpstr>
    </vt:vector>
  </TitlesOfParts>
  <Manager>P. Vijayanand</Manager>
  <Company>La Jolla Institute for Allergy and Immunology (LJI)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Supplementary Dataset 1-7</dc:title>
  <dc:subject/>
  <dc:creator>B.J. Schmiedel</dc:creator>
  <cp:keywords/>
  <dc:description/>
  <cp:lastModifiedBy>Benjamin Schmiedel</cp:lastModifiedBy>
  <cp:lastPrinted>2016-06-21T23:43:37Z</cp:lastPrinted>
  <dcterms:created xsi:type="dcterms:W3CDTF">2015-11-02T20:59:19Z</dcterms:created>
  <dcterms:modified xsi:type="dcterms:W3CDTF">2018-09-26T23:34:11Z</dcterms:modified>
  <cp:category/>
</cp:coreProperties>
</file>